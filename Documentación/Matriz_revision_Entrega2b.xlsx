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ocumentos" sheetId="1" state="visible" r:id="rId3"/>
    <sheet name="PRISMA" sheetId="2" state="visible" r:id="rId4"/>
    <sheet name="Cribado" sheetId="3" state="visible" r:id="rId5"/>
    <sheet name="Búsquedas" sheetId="4" state="visible" r:id="rId6"/>
  </sheets>
  <definedNames>
    <definedName function="false" hidden="true" localSheetId="3" name="_xlnm._FilterDatabase" vbProcedure="false">Búsquedas!$A$1:$F$11</definedName>
    <definedName function="false" hidden="true" localSheetId="2" name="_xlnm._FilterDatabase" vbProcedure="false">Cribado!$A$1:$I$70</definedName>
    <definedName function="false" hidden="true" localSheetId="0" name="_xlnm._FilterDatabase" vbProcedure="false">Documentos!$A$1:$W$43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<sst xmlns="http://schemas.openxmlformats.org/spreadsheetml/2006/main" count="1559" uniqueCount="705">
  <si>
    <t xml:space="preserve">ID</t>
  </si>
  <si>
    <t xml:space="preserve">Tipo de literatura</t>
  </si>
  <si>
    <t xml:space="preserve">Tipo de documento</t>
  </si>
  <si>
    <t xml:space="preserve">Autores</t>
  </si>
  <si>
    <t xml:space="preserve">Año</t>
  </si>
  <si>
    <t xml:space="preserve">Título</t>
  </si>
  <si>
    <t xml:space="preserve">Revista o fuente</t>
  </si>
  <si>
    <t xml:space="preserve">País o ciudad</t>
  </si>
  <si>
    <t xml:space="preserve">Método</t>
  </si>
  <si>
    <t xml:space="preserve">Muestra</t>
  </si>
  <si>
    <t xml:space="preserve">Medida de demanda</t>
  </si>
  <si>
    <t xml:space="preserve">Cómo trata la edad</t>
  </si>
  <si>
    <t xml:space="preserve">Hallazgo sobre edad y demanda</t>
  </si>
  <si>
    <t xml:space="preserve">¿Café de especialidad?</t>
  </si>
  <si>
    <t xml:space="preserve">Tema</t>
  </si>
  <si>
    <t xml:space="preserve">Relevancia para la pregunta</t>
  </si>
  <si>
    <t xml:space="preserve">Vacío o limitación</t>
  </si>
  <si>
    <t xml:space="preserve">DOI o enlace</t>
  </si>
  <si>
    <t xml:space="preserve">Búsqueda de origen</t>
  </si>
  <si>
    <t xml:space="preserve">Ámbito de la evidencia</t>
  </si>
  <si>
    <t xml:space="preserve">Explicación que propone el estudio</t>
  </si>
  <si>
    <t xml:space="preserve">Fuente de la extracción</t>
  </si>
  <si>
    <t xml:space="preserve">Verificado por el equipo (Sí/No)</t>
  </si>
  <si>
    <t xml:space="preserve">A01</t>
  </si>
  <si>
    <t xml:space="preserve">Académica</t>
  </si>
  <si>
    <t xml:space="preserve">cross-sectional study</t>
  </si>
  <si>
    <t xml:space="preserve">Ronald Wilde Mamani Tudela</t>
  </si>
  <si>
    <t xml:space="preserve">2024</t>
  </si>
  <si>
    <t xml:space="preserve">Dra. ESTIMACIÓN DE LA DISPOSICIÓN A PAGAR POR EL CAFÉ ORGÁNICO EN EL DISTRITO DE PUNO, 2022</t>
  </si>
  <si>
    <t xml:space="preserve">Revista de Ciencias Agrarias</t>
  </si>
  <si>
    <t xml:space="preserve">Perú (Puno)</t>
  </si>
  <si>
    <t xml:space="preserve">Valoración contingente; logit de elección dicotómica</t>
  </si>
  <si>
    <t xml:space="preserve">No indicada en el resumen</t>
  </si>
  <si>
    <t xml:space="preserve">Disposición a pagar por taza de café orgánico de alta calidad</t>
  </si>
  <si>
    <t xml:space="preserve">Variable explicativa</t>
  </si>
  <si>
    <t xml:space="preserve">La edad es uno de los determinantes de la disposición a pagar, junto con precio, ingreso, educación y género. La educación tiene el mayor efecto marginal. Edad promedio de la muestra: 35 años.</t>
  </si>
  <si>
    <t xml:space="preserve">Parcial</t>
  </si>
  <si>
    <t xml:space="preserve">Edad y disposición a pagar</t>
  </si>
  <si>
    <t xml:space="preserve">Alta</t>
  </si>
  <si>
    <t xml:space="preserve">Café orgánico, no de especialidad; el resumen no indica el signo del efecto de la edad. Ojo: el resumen automático de Consensus dice 'Puno, Chile'; Puno está en Perú.</t>
  </si>
  <si>
    <t xml:space="preserve">https://doi.org/10.53719/rca.2024.864</t>
  </si>
  <si>
    <t xml:space="preserve">Does willingness to pay for specialty coffee differ by age group?</t>
  </si>
  <si>
    <t xml:space="preserve">Café orgánico o certificado</t>
  </si>
  <si>
    <t xml:space="preserve">Pendiente de lectura del texto completo</t>
  </si>
  <si>
    <t xml:space="preserve">Resumen</t>
  </si>
  <si>
    <t xml:space="preserve">A02</t>
  </si>
  <si>
    <t xml:space="preserve">N. Saraswati, Mukson Mukson, S. Nurfadillah</t>
  </si>
  <si>
    <t xml:space="preserve">2023</t>
  </si>
  <si>
    <t xml:space="preserve">Analisis Kesediaan Membayar (Willingness to Pay) Konsumen Terhadap Produk Kopi Berlabel Fairtrade di Berbagai Wilayah Indonesia</t>
  </si>
  <si>
    <t xml:space="preserve">JSEP (Journal of Social and Agricultural Economics)</t>
  </si>
  <si>
    <t xml:space="preserve">Indonesia (varias regiones)</t>
  </si>
  <si>
    <t xml:space="preserve">Valoración contingente; regresión lineal múltiple</t>
  </si>
  <si>
    <t xml:space="preserve">218</t>
  </si>
  <si>
    <t xml:space="preserve">Disposición a pagar por café con sello Fairtrade</t>
  </si>
  <si>
    <t xml:space="preserve">La edad está entre los factores que influyen conjuntamente en la disposición a pagar. Consumidor típico: mujer de 21 a 30 años.</t>
  </si>
  <si>
    <t xml:space="preserve">No</t>
  </si>
  <si>
    <t xml:space="preserve">Media</t>
  </si>
  <si>
    <t xml:space="preserve">Café certificado, no de especialidad; no reporta el efecto individual de la edad.</t>
  </si>
  <si>
    <t xml:space="preserve">https://doi.org/10.19184/jsep.v16i1.33979</t>
  </si>
  <si>
    <t xml:space="preserve">A03</t>
  </si>
  <si>
    <t xml:space="preserve">systematic review</t>
  </si>
  <si>
    <t xml:space="preserve">A. Samoggia, Bettina Riedel</t>
  </si>
  <si>
    <t xml:space="preserve">2018</t>
  </si>
  <si>
    <t xml:space="preserve">Coffee consumption and purchasing behavior review: Insights for further research.</t>
  </si>
  <si>
    <t xml:space="preserve">Appetite</t>
  </si>
  <si>
    <t xml:space="preserve">Internacional</t>
  </si>
  <si>
    <t xml:space="preserve">Revisión sistemática de literatura</t>
  </si>
  <si>
    <t xml:space="preserve">No aplica</t>
  </si>
  <si>
    <t xml:space="preserve">Consumo y compra de café</t>
  </si>
  <si>
    <t xml:space="preserve">Sociodemográficos como grupo de determinantes</t>
  </si>
  <si>
    <t xml:space="preserve">Identifica cinco grupos de determinantes: preferencias personales, atributos económicos, atributos del producto, contexto de consumo y sociodemográficos.</t>
  </si>
  <si>
    <t xml:space="preserve">Marco general</t>
  </si>
  <si>
    <t xml:space="preserve">Consensus no exportó el resumen: hay que leer el texto completo para ver qué dice sobre la edad.</t>
  </si>
  <si>
    <t xml:space="preserve">https://doi.org/10.1016/j.appet.2018.07.002</t>
  </si>
  <si>
    <t xml:space="preserve">Does willingness to pay for specialty coffee differ by age group? | Does consumer age influence specialty coffee consumption? | Is age associated with frequency of coffee shop visits?</t>
  </si>
  <si>
    <t xml:space="preserve">Café en general</t>
  </si>
  <si>
    <t xml:space="preserve">A04</t>
  </si>
  <si>
    <t xml:space="preserve">mixed methods study</t>
  </si>
  <si>
    <t xml:space="preserve">Mei-Jung (Sebrina) Wang, E. K. Opoku, Aaron Tham</t>
  </si>
  <si>
    <t xml:space="preserve">Exploring Gen-Z consumers’ preference for specialty coffee in the socio-cultural context of Taiwan</t>
  </si>
  <si>
    <t xml:space="preserve">Young Consumers</t>
  </si>
  <si>
    <t xml:space="preserve">Taiwán</t>
  </si>
  <si>
    <t xml:space="preserve">Mixto: entrevistas y pruebas de sabor; muestreo intencional</t>
  </si>
  <si>
    <t xml:space="preserve">Preferencia y disposición a pagar por café de especialidad</t>
  </si>
  <si>
    <t xml:space="preserve">Una sola generación (Z)</t>
  </si>
  <si>
    <t xml:space="preserve">La generación Z percibe el café de especialidad como caro y no lo compra con regularidad. Lo asocia con salud y con consumo conspicuo en redes sociales.</t>
  </si>
  <si>
    <t xml:space="preserve">Sí</t>
  </si>
  <si>
    <t xml:space="preserve">Generaciones</t>
  </si>
  <si>
    <t xml:space="preserve">Una sola generación: no permite comparar por edad.</t>
  </si>
  <si>
    <t xml:space="preserve">https://doi.org/10.1108/yc-08-2023-1844</t>
  </si>
  <si>
    <t xml:space="preserve">Does willingness to pay for specialty coffee differ by age group? | Does consumer age influence specialty coffee consumption?</t>
  </si>
  <si>
    <t xml:space="preserve">Café de especialidad</t>
  </si>
  <si>
    <t xml:space="preserve">El precio limita la compra regular; la visita funciona como consumo conspicuo en redes sociales.</t>
  </si>
  <si>
    <t xml:space="preserve">A05</t>
  </si>
  <si>
    <t xml:space="preserve">Rahmawati Setiyani, Lathifah Khairani, Rajendra Agidya Putra</t>
  </si>
  <si>
    <t xml:space="preserve">2026</t>
  </si>
  <si>
    <t xml:space="preserve">Characteristics of Generation Z Coffee Consumers in Surakarta: A Study of Behavior and Preferences</t>
  </si>
  <si>
    <t xml:space="preserve">Jurnal Multidisiplin Madani</t>
  </si>
  <si>
    <t xml:space="preserve">Indonesia (Surakarta)</t>
  </si>
  <si>
    <t xml:space="preserve">Encuesta descriptiva</t>
  </si>
  <si>
    <t xml:space="preserve">Comportamiento de compra y preferencias</t>
  </si>
  <si>
    <t xml:space="preserve">Consumidores de 17 a 21 años, estudiantes y de ingresos bajos. El precio es el criterio principal para elegir dónde comprar.</t>
  </si>
  <si>
    <t xml:space="preserve">Una sola generación; edad confundida con ingreso y condición de estudiante.</t>
  </si>
  <si>
    <t xml:space="preserve">https://doi.org/10.55927/mudima.v6i8.116</t>
  </si>
  <si>
    <t xml:space="preserve">Does willingness to pay for specialty coffee differ by age group? | Does the age profile of coffee shop customers vary by urban area or neighborhood type? | Does consumer age influence specialty coffee consumption?</t>
  </si>
  <si>
    <t xml:space="preserve">Cafeterías en general</t>
  </si>
  <si>
    <t xml:space="preserve">A12</t>
  </si>
  <si>
    <t xml:space="preserve">interview study</t>
  </si>
  <si>
    <t xml:space="preserve">Tolga Doğan, O. Atsız</t>
  </si>
  <si>
    <t xml:space="preserve">Coffee consumption across generations: consumer habits, motivations and constraints</t>
  </si>
  <si>
    <t xml:space="preserve">Journal of Hospitality and Tourism Horizons</t>
  </si>
  <si>
    <t xml:space="preserve">Turquía</t>
  </si>
  <si>
    <t xml:space="preserve">Cualitativo: 37 entrevistas semiestructuradas</t>
  </si>
  <si>
    <t xml:space="preserve">37</t>
  </si>
  <si>
    <t xml:space="preserve">Hábitos, motivaciones y restricciones de consumo</t>
  </si>
  <si>
    <t xml:space="preserve">Compara generaciones X, Y y Z</t>
  </si>
  <si>
    <t xml:space="preserve">Z asocia el café con placer y socialización y prefiere locales de marca. Y valora el café fuerte y recién molido. X prioriza practicidad y lugares tranquilos. El precio alto es restricción común; X es quien más reduce el consumo.</t>
  </si>
  <si>
    <t xml:space="preserve">Cualitativo: no cuantifica frecuencia ni gasto por generación.</t>
  </si>
  <si>
    <t xml:space="preserve">https://doi.org/10.1108/jhth-02-2026-0040</t>
  </si>
  <si>
    <t xml:space="preserve">Café en general y cafeterías</t>
  </si>
  <si>
    <t xml:space="preserve">Cada generación da un significado distinto al café: placer y socialización (Z), significado cultural y café fuerte (Y), practicidad y lugares tranquilos (X).</t>
  </si>
  <si>
    <t xml:space="preserve">A13</t>
  </si>
  <si>
    <t xml:space="preserve">P. De Pelsmacker, Liesbeth Driesen, G. Rayp</t>
  </si>
  <si>
    <t xml:space="preserve">2005</t>
  </si>
  <si>
    <t xml:space="preserve">Do Consumers Care about Ethics? Willingness to Pay for Fair‐Trade Coffee</t>
  </si>
  <si>
    <t xml:space="preserve">Journal of Consumer Affairs</t>
  </si>
  <si>
    <t xml:space="preserve">Bélgica</t>
  </si>
  <si>
    <t xml:space="preserve">Encuesta</t>
  </si>
  <si>
    <t xml:space="preserve">808</t>
  </si>
  <si>
    <t xml:space="preserve">Disposición a pagar por café de comercio justo</t>
  </si>
  <si>
    <t xml:space="preserve">Perfil de segmentos</t>
  </si>
  <si>
    <t xml:space="preserve">La prima promedio aceptada es 10 %. El segmento más dispuesto a pagar (11 % de la muestra) tiene entre 31 y 44 años.</t>
  </si>
  <si>
    <t xml:space="preserve">Café de comercio justo; estudio de 2005 en Europa.</t>
  </si>
  <si>
    <t xml:space="preserve">https://doi.org/10.1111/j.1745-6606.2005.00019.x</t>
  </si>
  <si>
    <t xml:space="preserve">A18</t>
  </si>
  <si>
    <t xml:space="preserve">Soltomeina Park, Kyuhyeon Joo</t>
  </si>
  <si>
    <t xml:space="preserve">A Study on Prestige and Willingness to Pay a Premiumin the Context of Specialty Coffee Shops: Focusing on the Experience Economy</t>
  </si>
  <si>
    <t xml:space="preserve">Journal of MICE &amp; Tourism Research</t>
  </si>
  <si>
    <t xml:space="preserve">Corea del Sur</t>
  </si>
  <si>
    <t xml:space="preserve">Encuesta en línea; regresión, prueba t y ANOVA</t>
  </si>
  <si>
    <t xml:space="preserve">265</t>
  </si>
  <si>
    <t xml:space="preserve">Disposición a pagar una prima en cafeterías de especialidad</t>
  </si>
  <si>
    <t xml:space="preserve">Diferencias entre grupos</t>
  </si>
  <si>
    <t xml:space="preserve">El prestigio de la cafetería aumenta la disposición a pagar una prima. Las dimensiones de entretenimiento y estética de la experiencia difieren por edad, educación e ingreso.</t>
  </si>
  <si>
    <t xml:space="preserve">La edad se relaciona con la experiencia, no directamente con la disposición a pagar.</t>
  </si>
  <si>
    <t xml:space="preserve">https://doi.org/10.35176/jmtr.23.2.10</t>
  </si>
  <si>
    <t xml:space="preserve">Las dimensiones de la experiencia (educación, entretenimiento, estética, escape) elevan el prestigio de la cafetería y la disposición a pagar una prima.</t>
  </si>
  <si>
    <t xml:space="preserve">A21</t>
  </si>
  <si>
    <t xml:space="preserve">other</t>
  </si>
  <si>
    <t xml:space="preserve">S. Ferreira, Lukas Beuster</t>
  </si>
  <si>
    <t xml:space="preserve">2019</t>
  </si>
  <si>
    <t xml:space="preserve">Stellenbosch coffee society: Societal and locational preferences</t>
  </si>
  <si>
    <t xml:space="preserve">Urbani izziv</t>
  </si>
  <si>
    <t xml:space="preserve">Sudáfrica (Stellenbosch)</t>
  </si>
  <si>
    <t xml:space="preserve">Mixto: recorridos, encuesta y 3 entrevistas</t>
  </si>
  <si>
    <t xml:space="preserve">Preferencias sociales y de localización</t>
  </si>
  <si>
    <t xml:space="preserve">Indirecta: estudiantes y profesionales</t>
  </si>
  <si>
    <t xml:space="preserve">En una ciudad universitaria, estudiantes y profesionales moldean la geografía de las cafeterías. La preferencia depende de la ubicación y del apego al lugar.</t>
  </si>
  <si>
    <t xml:space="preserve">Zona y localización</t>
  </si>
  <si>
    <t xml:space="preserve">No mide la edad directamente.</t>
  </si>
  <si>
    <t xml:space="preserve">https://doi.org/10.5379/urbani-izziv-en-2019-30-supplement-005</t>
  </si>
  <si>
    <t xml:space="preserve">Does the age profile of coffee shop customers vary by urban area or neighborhood type?</t>
  </si>
  <si>
    <t xml:space="preserve">La cafetería funciona como tercer lugar; la preferencia depende de la ubicación y del apego al lugar.</t>
  </si>
  <si>
    <t xml:space="preserve">A22</t>
  </si>
  <si>
    <t xml:space="preserve">Wahyu Trianingsih, Yasin Yusup, Rahning Utomowati</t>
  </si>
  <si>
    <t xml:space="preserve">2020</t>
  </si>
  <si>
    <t xml:space="preserve">STUDI KERUANGAN KEDAI KOPI DAN EKONOMI KOGNITIF-BUDAYA DI KOTA SURAKARTA TAHUN 2019 (Suplemen Materi Bahan Ajar Geografi SMA Kelas X Kurikulum 2013 pada Kompetensi Dasar 3.1. Memahami Pengetahuan Dasar Geografi dan Terapannya dalam Kehidupan Sehari–Hari)</t>
  </si>
  <si>
    <t xml:space="preserve">GEADIDAKTIKA</t>
  </si>
  <si>
    <t xml:space="preserve">Cuantitativo con enfoque espacial (mapas)</t>
  </si>
  <si>
    <t xml:space="preserve">Distribución de cafeterías y perfil de visitantes</t>
  </si>
  <si>
    <t xml:space="preserve">Descriptiva</t>
  </si>
  <si>
    <t xml:space="preserve">Las cafeterías se concentran en el distrito que es centro de actividad urbana. Los visitantes están en edad productiva y son de clase media-alta.</t>
  </si>
  <si>
    <t xml:space="preserve">Describe la edad sin compararla entre zonas.</t>
  </si>
  <si>
    <t xml:space="preserve">https://doi.org/10.20961/gea.v1i1.42080</t>
  </si>
  <si>
    <t xml:space="preserve">A24</t>
  </si>
  <si>
    <t xml:space="preserve">Diana Rachmatunnissa, Yosini Deliana</t>
  </si>
  <si>
    <t xml:space="preserve">SEGMENTASI KONSUMEN COFFEE SHOP GENERASI Z DI JATINANGOR</t>
  </si>
  <si>
    <t xml:space="preserve">No exportada por Consensus</t>
  </si>
  <si>
    <t xml:space="preserve">Indonesia (Jatinangor, zona universitaria)</t>
  </si>
  <si>
    <t xml:space="preserve">Encuesta con muestreo aleatorio sistemático; análisis discriminante</t>
  </si>
  <si>
    <t xml:space="preserve">163</t>
  </si>
  <si>
    <t xml:space="preserve">Intensidad de consumo, gasto y número de visitas</t>
  </si>
  <si>
    <t xml:space="preserve">Los clientes de cafeterías grandes y pequeñas difieren significativamente en edad, intensidad de consumo, gasto, número de visitas, distancia y tiempo de permanencia.</t>
  </si>
  <si>
    <t xml:space="preserve">Zona universitaria: poca variación de edad.</t>
  </si>
  <si>
    <t xml:space="preserve">https://doi.org/10.25157/ma.v6i1.2686</t>
  </si>
  <si>
    <t xml:space="preserve">A25</t>
  </si>
  <si>
    <t xml:space="preserve">Feri Hendra, Y. Rohayati, Budi Sulistyo</t>
  </si>
  <si>
    <t xml:space="preserve">Psychographic Segmentation of Generation Z Coffee Shop Customers: An Activities, Interests, and Opinions (AIO) Approach</t>
  </si>
  <si>
    <t xml:space="preserve">International Journal of Applied Business and International Management</t>
  </si>
  <si>
    <t xml:space="preserve">Indonesia (Bandung y Yakarta)</t>
  </si>
  <si>
    <t xml:space="preserve">Encuesta; conglomerados K-means y ANOVA</t>
  </si>
  <si>
    <t xml:space="preserve">285</t>
  </si>
  <si>
    <t xml:space="preserve">Gasto por visita y frecuencia de visita</t>
  </si>
  <si>
    <t xml:space="preserve">Edad, ocupación, ingreso y gasto por visita se asocian con el segmento del cliente. El género y la frecuencia de visita no.</t>
  </si>
  <si>
    <t xml:space="preserve">Una sola generación.</t>
  </si>
  <si>
    <t xml:space="preserve">https://doi.org/10.32535/ijabim.v11i2.4721</t>
  </si>
  <si>
    <t xml:space="preserve">A28</t>
  </si>
  <si>
    <t xml:space="preserve">H. Maulina, M. Novita, M. Rahmany</t>
  </si>
  <si>
    <t xml:space="preserve">2025</t>
  </si>
  <si>
    <t xml:space="preserve">Analysis of coffee truck consumer segmentation in Banda Aceh city</t>
  </si>
  <si>
    <t xml:space="preserve">IOP Conference Series: Earth and Environmental Science</t>
  </si>
  <si>
    <t xml:space="preserve">Indonesia (Banda Aceh)</t>
  </si>
  <si>
    <t xml:space="preserve">Encuesta; conglomerados K-means</t>
  </si>
  <si>
    <t xml:space="preserve">306</t>
  </si>
  <si>
    <t xml:space="preserve">Frecuencia y motivos de visita a coffee trucks</t>
  </si>
  <si>
    <t xml:space="preserve">Los cuatro segmentos son demográficamente similares (25 a 35 años). Se diferencian por estilo de vida, frecuencia y motivos de visita.</t>
  </si>
  <si>
    <t xml:space="preserve">Edad y visitas a cafeterías</t>
  </si>
  <si>
    <t xml:space="preserve">Baja</t>
  </si>
  <si>
    <t xml:space="preserve">Coffee trucks, no cafeterías de especialidad.</t>
  </si>
  <si>
    <t xml:space="preserve">https://doi.org/10.1088/1755-1315/1510/1/012031</t>
  </si>
  <si>
    <t xml:space="preserve">A29</t>
  </si>
  <si>
    <t xml:space="preserve">Ayşe Buket Önem, K. Arslanlı</t>
  </si>
  <si>
    <t xml:space="preserve">The evolving landscape of Istanbul's coffee shops: Navigating disruption in a changing urban environment</t>
  </si>
  <si>
    <t xml:space="preserve">Journal of Design for Resilience in Architecture and Planning</t>
  </si>
  <si>
    <t xml:space="preserve">Turquía (Estambul)</t>
  </si>
  <si>
    <t xml:space="preserve">Regresión a nivel de distrito</t>
  </si>
  <si>
    <t xml:space="preserve">Distritos seleccionados</t>
  </si>
  <si>
    <t xml:space="preserve">Número de cafeterías por distrito</t>
  </si>
  <si>
    <t xml:space="preserve">Proporción de población mayor de 65 años</t>
  </si>
  <si>
    <t xml:space="preserve">El número de cafeterías por distrito se explica sobre todo por el índice de vida social y la proporción de población mayor de 65 años.</t>
  </si>
  <si>
    <t xml:space="preserve">El resumen no indica el signo; mide oferta por zona, no demanda individual.</t>
  </si>
  <si>
    <t xml:space="preserve">https://doi.org/10.47818/drarch.2024.v5si150</t>
  </si>
  <si>
    <t xml:space="preserve">A30</t>
  </si>
  <si>
    <t xml:space="preserve">E. Loftfield, N. Freedman, K. Dodd, E. Vogtmann, Qian Xiao, R. Sinha, B. Graubard</t>
  </si>
  <si>
    <t xml:space="preserve">2016</t>
  </si>
  <si>
    <t xml:space="preserve">Coffee Drinking Is Widespread in the United States, but Usual Intake Varies by Key Demographic and Lifestyle Factors.</t>
  </si>
  <si>
    <t xml:space="preserve">The Journal of nutrition</t>
  </si>
  <si>
    <t xml:space="preserve">Estados Unidos</t>
  </si>
  <si>
    <t xml:space="preserve">Encuesta nacional NHANES 2003-2006; recordatorios de 24 horas</t>
  </si>
  <si>
    <t xml:space="preserve">Representativa de adultos de 20 años o más</t>
  </si>
  <si>
    <t xml:space="preserve">Ingesta diaria de café</t>
  </si>
  <si>
    <t xml:space="preserve">Grupos de edad</t>
  </si>
  <si>
    <t xml:space="preserve">75 % de los adultos toma café. La prevalencia varía por edad, pero no por sexo, educación ni ingreso. La ingesta es mayor en los grupos de más edad que en el de 20 a 29.</t>
  </si>
  <si>
    <t xml:space="preserve">Edad y consumo total</t>
  </si>
  <si>
    <t xml:space="preserve">Consumo total, no en cafeterías. Pide estudios longitudinales para separar edad y cohorte.</t>
  </si>
  <si>
    <t xml:space="preserve">https://doi.org/10.3945/jn.116.233940</t>
  </si>
  <si>
    <t xml:space="preserve">Does consumer age influence specialty coffee consumption? | Is age associated with frequency of coffee shop visits?</t>
  </si>
  <si>
    <t xml:space="preserve">A31</t>
  </si>
  <si>
    <t xml:space="preserve">C. Rehm, Joseph C. Ratliff, Claudia S. Riedt, A. Drewnowski</t>
  </si>
  <si>
    <t xml:space="preserve">Coffee Consumption among Adults in the United States by Demographic Variables and Purchase Location: Analyses of NHANES 2011–2016 Data</t>
  </si>
  <si>
    <t xml:space="preserve">Nutrients</t>
  </si>
  <si>
    <t xml:space="preserve">Encuesta nacional NHANES 2011-2016</t>
  </si>
  <si>
    <t xml:space="preserve">14.865</t>
  </si>
  <si>
    <t xml:space="preserve">Consumo de café y lugar de compra</t>
  </si>
  <si>
    <t xml:space="preserve">El porcentaje de consumidores y la cantidad consumida son mayores entre 51 y 70 años y en ingresos altos. El lugar de compra varía por edad.</t>
  </si>
  <si>
    <t xml:space="preserve">No distingue café de especialidad.</t>
  </si>
  <si>
    <t xml:space="preserve">https://doi.org/10.3390/nu12082463</t>
  </si>
  <si>
    <t xml:space="preserve">A32</t>
  </si>
  <si>
    <t xml:space="preserve">theoretical, modeling, or simulation study</t>
  </si>
  <si>
    <t xml:space="preserve">Dylan Yeon Joon Cho</t>
  </si>
  <si>
    <t xml:space="preserve">Age Patterns, Cohort-proxy Trends, and Scenario-based U.S. Coffee Participation through 2040</t>
  </si>
  <si>
    <t xml:space="preserve">Journal of Education, Society and Behavioural Science</t>
  </si>
  <si>
    <t xml:space="preserve">Transversal repetido NHANES 2003-2023 con proyección a 2040</t>
  </si>
  <si>
    <t xml:space="preserve">Encuesta nacional</t>
  </si>
  <si>
    <t xml:space="preserve">Participación e ingesta de café</t>
  </si>
  <si>
    <t xml:space="preserve">Grupos de edad y aproximación de cohorte</t>
  </si>
  <si>
    <t xml:space="preserve">En 2021-2023 la participación sube de 22,4 % (18 a 24 años) a 68,7 % (60 o más). Entre 2003-2004 y 2021-2023 la participación creció 56,7 % en el grupo de 18 a 24.</t>
  </si>
  <si>
    <t xml:space="preserve">Consumo total; revista sin cuartil SJR.</t>
  </si>
  <si>
    <t xml:space="preserve">https://doi.org/10.9734/jesbs/2026/v39i51526</t>
  </si>
  <si>
    <t xml:space="preserve">A33</t>
  </si>
  <si>
    <t xml:space="preserve">A. Utama, U. Sumarwan, A. Suroso, M. Najib</t>
  </si>
  <si>
    <t xml:space="preserve">2021</t>
  </si>
  <si>
    <t xml:space="preserve">Roles of Regulation and Lifestyle on Indonesian Coffee Consumption Behavior Across Generations</t>
  </si>
  <si>
    <t xml:space="preserve">International Journal of Sustainable Development and Planning</t>
  </si>
  <si>
    <t xml:space="preserve">Indonesia</t>
  </si>
  <si>
    <t xml:space="preserve">Encuesta en línea; modelos SOR y AISAS</t>
  </si>
  <si>
    <t xml:space="preserve">413 (207 mayores y 206 jóvenes)</t>
  </si>
  <si>
    <t xml:space="preserve">Consumo de café</t>
  </si>
  <si>
    <t xml:space="preserve">Compara jóvenes y mayores</t>
  </si>
  <si>
    <t xml:space="preserve">El estilo de vida influye en el consumo de ambas generaciones. La regulación solo influye en la actitud y la acción de los jóvenes.</t>
  </si>
  <si>
    <t xml:space="preserve">No mide frecuencia ni gasto.</t>
  </si>
  <si>
    <t xml:space="preserve">https://doi.org/10.18280/ijsdp.160616</t>
  </si>
  <si>
    <t xml:space="preserve">Does consumer age influence specialty coffee consumption?</t>
  </si>
  <si>
    <t xml:space="preserve">A34</t>
  </si>
  <si>
    <t xml:space="preserve">No clasificado por Consensus</t>
  </si>
  <si>
    <t xml:space="preserve">Xinyue Xu, A. Ng</t>
  </si>
  <si>
    <t xml:space="preserve">2022</t>
  </si>
  <si>
    <t xml:space="preserve">Cultivation of new taste: taste makers and new forms of distinction in China’s Coffee Culture</t>
  </si>
  <si>
    <t xml:space="preserve">Information, Communication &amp; Society</t>
  </si>
  <si>
    <t xml:space="preserve">China</t>
  </si>
  <si>
    <t xml:space="preserve">Cualitativo: análisis de 20 artículos de WeChat</t>
  </si>
  <si>
    <t xml:space="preserve">20 artículos</t>
  </si>
  <si>
    <t xml:space="preserve">Gusto por el café de especialidad</t>
  </si>
  <si>
    <t xml:space="preserve">Una sola generación (millennials)</t>
  </si>
  <si>
    <t xml:space="preserve">Entre millennials urbanos, el café de especialidad funciona como signo de distinción de clase, apoyado en la estética del local y las redes sociales.</t>
  </si>
  <si>
    <t xml:space="preserve">Cualitativo y de una sola generación.</t>
  </si>
  <si>
    <t xml:space="preserve">https://doi.org/10.1080/1369118x.2022.2085616</t>
  </si>
  <si>
    <t xml:space="preserve">El café de especialidad funciona como signo de distinción de clase, apoyado en la estética del local y las redes sociales.</t>
  </si>
  <si>
    <t xml:space="preserve">A36</t>
  </si>
  <si>
    <t xml:space="preserve">Alessandra Gaspar Sousa, L. M. M. Machado, E. F. D. Da Silva, Teresa Helena Macedo da Costa</t>
  </si>
  <si>
    <t xml:space="preserve">Personal characteristics of coffee consumers and non-consumers, reasons and preferences for foods eaten with coffee among adults from the Federal District, Brazil</t>
  </si>
  <si>
    <t xml:space="preserve">Food Science and Technology (Campinas)</t>
  </si>
  <si>
    <t xml:space="preserve">Brasil (Distrito Federal)</t>
  </si>
  <si>
    <t xml:space="preserve">Encuesta telefónica poblacional</t>
  </si>
  <si>
    <t xml:space="preserve">1.368</t>
  </si>
  <si>
    <t xml:space="preserve">Ingesta de café</t>
  </si>
  <si>
    <t xml:space="preserve">La probabilidad de tomar café es mayor a más edad. El motivo principal es el placer personal (48 %).</t>
  </si>
  <si>
    <t xml:space="preserve">Único estudio de Brasil; consumo total, no en cafeterías.</t>
  </si>
  <si>
    <t xml:space="preserve">https://doi.org/10.1590/1678-457x.10015</t>
  </si>
  <si>
    <t xml:space="preserve">A37</t>
  </si>
  <si>
    <t xml:space="preserve">J. Drábeková, Adriána Spiššáková</t>
  </si>
  <si>
    <t xml:space="preserve">Consumers, cafes, baristas, and statistical analysis of their interactions</t>
  </si>
  <si>
    <t xml:space="preserve">Mathematics in Education, Research and Applications</t>
  </si>
  <si>
    <t xml:space="preserve">Eslovaquia</t>
  </si>
  <si>
    <t xml:space="preserve">Cuestionario anónimo; chi-cuadrado</t>
  </si>
  <si>
    <t xml:space="preserve">250 encuestados; 53 % entre 18 y 24 años</t>
  </si>
  <si>
    <t xml:space="preserve">Preferencia por cafetería frente a casa</t>
  </si>
  <si>
    <t xml:space="preserve">La preferencia por el café preparado en cafetería frente al de casa baja de 92,5 % (18 a 24 años) a 66,7 % (51 a 62); relación significativa pero débil. La calidad de la preparación es lo más valorado y el precio lo menos.</t>
  </si>
  <si>
    <t xml:space="preserve">No mide gasto ni café de especialidad.</t>
  </si>
  <si>
    <t xml:space="preserve">https://doi.org/10.15414/meraa.2023.09.01.1-8</t>
  </si>
  <si>
    <t xml:space="preserve">La calidad de la preparación y el profesionalismo del barista explican la preferencia por la cafetería; el precio es el factor menos valorado.</t>
  </si>
  <si>
    <t xml:space="preserve">Texto completo</t>
  </si>
  <si>
    <t xml:space="preserve">A39</t>
  </si>
  <si>
    <t xml:space="preserve">Y. N. Muflikh, Depicha Zambustya Zamborita, Al-May Abbyan Izzy Burhani</t>
  </si>
  <si>
    <t xml:space="preserve">Purchasing Decisions and Consumer Preferences of Millennials and Zoomers at Coffee Shops</t>
  </si>
  <si>
    <t xml:space="preserve">Journal of Consumer Sciences</t>
  </si>
  <si>
    <t xml:space="preserve">Indonesia (Madiun)</t>
  </si>
  <si>
    <t xml:space="preserve">Encuesta; prueba t y conglomerados K-means</t>
  </si>
  <si>
    <t xml:space="preserve">180 clientes de 17 a 41 años en Madiun</t>
  </si>
  <si>
    <t xml:space="preserve">Frecuencia de visita y atributos valorados</t>
  </si>
  <si>
    <t xml:space="preserve">Compara millennials y generación Z</t>
  </si>
  <si>
    <t xml:space="preserve">La generación Z (17 a 27) visita cada semana y gasta menos de 50.000 rupias por visita; los millennials (28 a 41) visitan cada mes y parte gasta entre 50.000 y 100.000. Socializar es el motivo principal en ambas.</t>
  </si>
  <si>
    <t xml:space="preserve">Solo dos generaciones jóvenes.</t>
  </si>
  <si>
    <t xml:space="preserve">https://doi.org/10.29244/jcs.9.1.102-121</t>
  </si>
  <si>
    <t xml:space="preserve">La generación Z usa la cafetería también para trabajar (valora WiFi y enchufes); los millennials priorizan la interacción social. Sabor y precio se valoran igual en ambas.</t>
  </si>
  <si>
    <t xml:space="preserve">A42</t>
  </si>
  <si>
    <t xml:space="preserve">Nur Yasarah, Yahya Nurin, A. Mazlan, Wan Nor Bayah, Wan Nor Bayah Wan Kamarudin</t>
  </si>
  <si>
    <t xml:space="preserve">s. f.</t>
  </si>
  <si>
    <t xml:space="preserve">Personal Factor and Consumer Purchase Intention: The Risen of Coffee Culture in Klang Valley, Malaysia</t>
  </si>
  <si>
    <t xml:space="preserve">Malasia (Klang Valley)</t>
  </si>
  <si>
    <t xml:space="preserve">Encuesta en línea; muestreo no probabilístico</t>
  </si>
  <si>
    <t xml:space="preserve">398</t>
  </si>
  <si>
    <t xml:space="preserve">Intención de compra de café</t>
  </si>
  <si>
    <t xml:space="preserve">Edad y ciclo de vida, ocupación e ingreso influyen en la intención de compra.</t>
  </si>
  <si>
    <t xml:space="preserve">Consensus no exportó año, revista ni DOI: verificar la referencia.</t>
  </si>
  <si>
    <t xml:space="preserve">https://consensus.app/papers/personal-factor-and-consumer-purchase-intention-the-risen-yasarah-nurin/c563ed129493519d8dd47a38bca13fee/</t>
  </si>
  <si>
    <t xml:space="preserve">A44</t>
  </si>
  <si>
    <t xml:space="preserve">Hanan Mohammed Idris Abdella, Sandy Mohamed Mohamed Mebead, Marwah Abdulrraziq Abdulghani Salih, Mariam Abdul-Kareem Abdul-Wahed Abdul-Nabi, Fawzia M Salem Bozaid, Seraj Abbas, Ali Ateia Elmabsout</t>
  </si>
  <si>
    <t xml:space="preserve">Frequencies, pattern and knowledge of health-related problems of coffee consumption in Benghazi – Libya</t>
  </si>
  <si>
    <t xml:space="preserve">World Journal of Advanced Research and Reviews</t>
  </si>
  <si>
    <t xml:space="preserve">Libia (Bengasi)</t>
  </si>
  <si>
    <t xml:space="preserve">Encuesta transversal; chi-cuadrado</t>
  </si>
  <si>
    <t xml:space="preserve">1.022</t>
  </si>
  <si>
    <t xml:space="preserve">Frecuencia de consumo y visita a cafeterías</t>
  </si>
  <si>
    <t xml:space="preserve">Ir a cafeterías alcanza su pico entre los 18 y 30 años y luego disminuye. La mayoría toma café hecho en casa.</t>
  </si>
  <si>
    <t xml:space="preserve">Estudio orientado a salud; contexto cultural distinto.</t>
  </si>
  <si>
    <t xml:space="preserve">https://doi.org/10.30574/wjarr.2024.24.3.4032</t>
  </si>
  <si>
    <t xml:space="preserve">Is age associated with frequency of coffee shop visits?</t>
  </si>
  <si>
    <t xml:space="preserve">A45</t>
  </si>
  <si>
    <t xml:space="preserve">Richard A. Heiens, L. P. Pleshko</t>
  </si>
  <si>
    <t xml:space="preserve">2017</t>
  </si>
  <si>
    <t xml:space="preserve">AN EMPIRICAL VALIDATION OF THE METHODOLOGY FOR MEASURING SELF-PERCEIVED AGE IN THE MIDDLE EASTERN MARKET</t>
  </si>
  <si>
    <t xml:space="preserve">PEOPLE: International Journal of Social Sciences</t>
  </si>
  <si>
    <t xml:space="preserve">Medio Oriente (país no indicado en el resumen)</t>
  </si>
  <si>
    <t xml:space="preserve">Encuesta a clientes de cafeterías</t>
  </si>
  <si>
    <t xml:space="preserve">618 clientes de 39 cadenas en Ciudad de Kuwait; 18 a 70 años</t>
  </si>
  <si>
    <t xml:space="preserve">Visitas por año y gasto por visita</t>
  </si>
  <si>
    <t xml:space="preserve">Edad cronológica y edad cognitiva</t>
  </si>
  <si>
    <t xml:space="preserve">Con la edad bajan las visitas al año (r = -0,28) y suben el gasto por visita (r = 0,16) y las tazas diarias (r = 0,15); todas con p &lt; 0,01.</t>
  </si>
  <si>
    <t xml:space="preserve">Único estudio que mide visitas y gasto juntos; no incluye disposición a pagar ni especialidad.</t>
  </si>
  <si>
    <t xml:space="preserve">https://doi.org/10.20319/pijss.2017.32.495511</t>
  </si>
  <si>
    <t xml:space="preserve">Cafeterías en general (cadenas)</t>
  </si>
  <si>
    <t xml:space="preserve">Con la edad sube el ingreso y baja la movilidad; los mayores se sumergen más en la experiencia del café en lugar de hacer paradas rápidas y frecuentes. El mayor consumo total ocurriría fuera de la cafetería.</t>
  </si>
  <si>
    <t xml:space="preserve">A46</t>
  </si>
  <si>
    <t xml:space="preserve">Hyun-Jung Kim, Heechan Lee</t>
  </si>
  <si>
    <t xml:space="preserve">A Study on the Determinants of Visit Demand for Coffee Shop</t>
  </si>
  <si>
    <t xml:space="preserve">Journal of Tourism Management Research</t>
  </si>
  <si>
    <t xml:space="preserve">Corea del Sur (Seúl y Gyeonggi)</t>
  </si>
  <si>
    <t xml:space="preserve">Encuesta; modelos Poisson truncado y binomial negativa truncada</t>
  </si>
  <si>
    <t xml:space="preserve">700</t>
  </si>
  <si>
    <t xml:space="preserve">Número de visitas a cafeterías</t>
  </si>
  <si>
    <t xml:space="preserve">Menor edad aumenta el número de visitas. También lo aumentan ser hombre, soltero, y tener mayor ingreso y educación.</t>
  </si>
  <si>
    <t xml:space="preserve">No distingue cafeterías de especialidad.</t>
  </si>
  <si>
    <t xml:space="preserve">https://doi.org/10.18604/tmro.2021.25.2.8</t>
  </si>
  <si>
    <t xml:space="preserve">La calidad del café y el involucramiento con el café aumentan las visitas; los encuentros personales y el postre las reducen.</t>
  </si>
  <si>
    <t xml:space="preserve">A47</t>
  </si>
  <si>
    <t xml:space="preserve">No exportados por Consensus</t>
  </si>
  <si>
    <t xml:space="preserve">DOES COGNITIVE AGE PLAY A ROLE AT THE INTERSECTION OF AGE AND LEISURE? AN EXPLORATORY ANALYSIS</t>
  </si>
  <si>
    <t xml:space="preserve">Global Journal of Management and Marketing</t>
  </si>
  <si>
    <t xml:space="preserve">Kuwait</t>
  </si>
  <si>
    <t xml:space="preserve">Encuesta a clientes de cafeterías; grupos pareados</t>
  </si>
  <si>
    <t xml:space="preserve">Variables de consumo en cafeterías</t>
  </si>
  <si>
    <t xml:space="preserve">La edad cronológica explica mejor el comportamiento que la edad cognitiva. Los indicadores de edad se relacionan con la mayoría de las variables de café.</t>
  </si>
  <si>
    <t xml:space="preserve">Consensus no exportó los autores: verificar la referencia.</t>
  </si>
  <si>
    <t xml:space="preserve">https://doi.org/10.47177/gjmm.03.01.2019.022</t>
  </si>
  <si>
    <t xml:space="preserve">A48</t>
  </si>
  <si>
    <t xml:space="preserve">Chang-Hyeon Lee, Su-Jin Oh</t>
  </si>
  <si>
    <t xml:space="preserve">2014</t>
  </si>
  <si>
    <t xml:space="preserve">Changes of Coffee Intake according to the Sociodemographic Characteristics of the People over 50 and the Elderly in Korea : Analysis of data from the 2001/2011 Korea National Health and Nutrition Examination Surveys</t>
  </si>
  <si>
    <t xml:space="preserve">Encuestas nacionales de salud y nutrición 2001 y 2011</t>
  </si>
  <si>
    <t xml:space="preserve">2.316 (2001) y 3.170 (2011), mayores de 50</t>
  </si>
  <si>
    <t xml:space="preserve">Ingesta, tipo de café y lugar de consumo</t>
  </si>
  <si>
    <t xml:space="preserve">Solo mayores de 50</t>
  </si>
  <si>
    <t xml:space="preserve">El consumo de los mayores depende de su actividad económica. Propone a los mayores como nuevo grupo de consumo para las cafeterías.</t>
  </si>
  <si>
    <t xml:space="preserve">Solo mayores de 50 años.</t>
  </si>
  <si>
    <t xml:space="preserve">https://doi.org/10.20878/cshr.2014.20.3.006006006</t>
  </si>
  <si>
    <t xml:space="preserve">A50</t>
  </si>
  <si>
    <t xml:space="preserve">Joanna Frąckiewicz, Zuzanna Tarwacka, M. Drywień</t>
  </si>
  <si>
    <t xml:space="preserve">Assessment of coffee, tea and herbal infusions consumption in adults.</t>
  </si>
  <si>
    <t xml:space="preserve">Roczniki Panstwowego Zakladu Higieny</t>
  </si>
  <si>
    <t xml:space="preserve">Polonia</t>
  </si>
  <si>
    <t xml:space="preserve">Encuesta en línea</t>
  </si>
  <si>
    <t xml:space="preserve">508</t>
  </si>
  <si>
    <t xml:space="preserve">Consumo de café, té e infusiones</t>
  </si>
  <si>
    <t xml:space="preserve">El mayor porcentaje de consumidores de café está entre los 18 y 29 años, con educación superior, empleo fijo y en ciudades de más de 500.000 habitantes.</t>
  </si>
  <si>
    <t xml:space="preserve">Resultado opuesto al de Estados Unidos y Brasil.</t>
  </si>
  <si>
    <t xml:space="preserve">https://doi.org/10.32394/rpzh.2023.0271</t>
  </si>
  <si>
    <t xml:space="preserve">A51</t>
  </si>
  <si>
    <t xml:space="preserve">O. Vu, Abel Duarte Alonso, Thanh Duc Tran, Trung Thanh Nguyen, Gavin Nicholson</t>
  </si>
  <si>
    <t xml:space="preserve">Examining the coffee consumption phenomenon in Vietnam through the structured experience lens</t>
  </si>
  <si>
    <t xml:space="preserve">Journal of Foodservice Business Research</t>
  </si>
  <si>
    <t xml:space="preserve">Vietnam</t>
  </si>
  <si>
    <t xml:space="preserve">Encuesta; chi-cuadrado, con componente cualitativo</t>
  </si>
  <si>
    <t xml:space="preserve">1.178</t>
  </si>
  <si>
    <t xml:space="preserve">Patrones de visita y experiencia en cafeterías</t>
  </si>
  <si>
    <t xml:space="preserve">Hay diferencias por grupo de edad, residencia, ocupación y género. Los clientes de cafeterías independientes valoran más la experiencia.</t>
  </si>
  <si>
    <t xml:space="preserve">País productor; el resumen no detalla las diferencias por edad.</t>
  </si>
  <si>
    <t xml:space="preserve">https://doi.org/10.1080/15378020.2024.2336180</t>
  </si>
  <si>
    <t xml:space="preserve">A53</t>
  </si>
  <si>
    <t xml:space="preserve">L. P. Pleshko, Richard A. Heiens</t>
  </si>
  <si>
    <t xml:space="preserve">2015</t>
  </si>
  <si>
    <t xml:space="preserve">An Investigation Of Chronological Versus Cognitive Age Impact In The Kuwait Coffee Shop Market</t>
  </si>
  <si>
    <t xml:space="preserve">Encuesta a usuarios de cafeterías</t>
  </si>
  <si>
    <t xml:space="preserve">618 clientes de cadenas en Ciudad de Kuwait (misma muestra que Heiens y Pleshko, 2017)</t>
  </si>
  <si>
    <t xml:space="preserve">Comportamiento en cafeterías</t>
  </si>
  <si>
    <t xml:space="preserve">Con la edad cronológica crecen la importancia del café como motivo de visita (r = 0,09), las tazas diarias (r = 0,15) y el consumo en casa (r = 0,15). Tomar café con amigos no varía con la edad cronológica.</t>
  </si>
  <si>
    <t xml:space="preserve">Contexto cultural distinto.</t>
  </si>
  <si>
    <t xml:space="preserve">https://doi.org/10.15388/omee.2015.6.1.14228</t>
  </si>
  <si>
    <t xml:space="preserve">La importancia del café crece con la edad, que los autores atribuyen en parte a sus beneficios para la salud; la menor movilidad explicaría el mayor consumo en casa.</t>
  </si>
  <si>
    <t xml:space="preserve">A54</t>
  </si>
  <si>
    <t xml:space="preserve">N. Bawazeer, Faisal Binsunaid, Atheer S. Alraqea, Omar Alhumaidan, Ghadir Fallata, R. Aldahash, N. Benajiba</t>
  </si>
  <si>
    <t xml:space="preserve">Comparative study of Saudi and Turkish coffee consumption in Saudi Arabia: insights into sociodemographic factors and caffeine intake</t>
  </si>
  <si>
    <t xml:space="preserve">Frontiers in Nutrition</t>
  </si>
  <si>
    <t xml:space="preserve">Arabia Saudita</t>
  </si>
  <si>
    <t xml:space="preserve">1.030</t>
  </si>
  <si>
    <t xml:space="preserve">Frecuencia de consumo de café saudí y turco</t>
  </si>
  <si>
    <t xml:space="preserve">Variable de comparación</t>
  </si>
  <si>
    <t xml:space="preserve">La frecuencia de consumo difiere por edad, ingreso, estado civil y región.</t>
  </si>
  <si>
    <t xml:space="preserve">El resumen no indica la dirección de la diferencia por edad.</t>
  </si>
  <si>
    <t xml:space="preserve">https://doi.org/10.3389/fnut.2024.1407590</t>
  </si>
  <si>
    <t xml:space="preserve">G01</t>
  </si>
  <si>
    <t xml:space="preserve">Gris</t>
  </si>
  <si>
    <t xml:space="preserve">Prensa (reporta estudio gremial)</t>
  </si>
  <si>
    <t xml:space="preserve">Acosta, J.</t>
  </si>
  <si>
    <t xml:space="preserve">Aumentaría el consumo interno de café a 2,8 kg per cápita</t>
  </si>
  <si>
    <t xml:space="preserve">Portafolio</t>
  </si>
  <si>
    <t xml:space="preserve">Colombia</t>
  </si>
  <si>
    <t xml:space="preserve">Nota de prensa sobre encuesta de Reinova para la Federación Nacional de Cafeteros</t>
  </si>
  <si>
    <t xml:space="preserve">1.200 adultos de estratos 2 a 6</t>
  </si>
  <si>
    <t xml:space="preserve">Consumo per cápita y penetración</t>
  </si>
  <si>
    <t xml:space="preserve">Mención general</t>
  </si>
  <si>
    <t xml:space="preserve">El consumo per cápita se estimó en 2,8 kg en 2021 y la penetración pasó de 86 % (2015) a 96 % (2021). El consumo empieza a edades más tempranas, lo que la nota llama cambio generacional.</t>
  </si>
  <si>
    <t xml:space="preserve">No desglosa por grupos de edad ni por café de especialidad.</t>
  </si>
  <si>
    <t xml:space="preserve">https://www.portafolio.co/economia/aumentaria-el-consumo-interno-de-cafe-aumentaria-a-2-8-kg-per-capita-559179</t>
  </si>
  <si>
    <t xml:space="preserve">Búsqueda web de literatura gris</t>
  </si>
  <si>
    <t xml:space="preserve">Página web o ficha</t>
  </si>
  <si>
    <t xml:space="preserve">G03</t>
  </si>
  <si>
    <t xml:space="preserve">Documento distrital</t>
  </si>
  <si>
    <t xml:space="preserve">Alcaldía de Bogotá; Instituto Distrital de Turismo</t>
  </si>
  <si>
    <t xml:space="preserve">Bogotá lanza 'Conexión Bogotá: Experiencias de Café'</t>
  </si>
  <si>
    <t xml:space="preserve">bogota.gov.co</t>
  </si>
  <si>
    <t xml:space="preserve">Bogotá</t>
  </si>
  <si>
    <t xml:space="preserve">Comunicado institucional</t>
  </si>
  <si>
    <t xml:space="preserve">No mide demanda</t>
  </si>
  <si>
    <t xml:space="preserve">No la trata</t>
  </si>
  <si>
    <t xml:space="preserve">El Distrito reconoció 25 tiendas de café de especialidad como embajadoras del café colombiano. Participan el Instituto Distrital de Turismo y la Secretaría Distrital de Desarrollo Económico.</t>
  </si>
  <si>
    <t xml:space="preserve">No ofrece datos de consumidores ni de zonas.</t>
  </si>
  <si>
    <t xml:space="preserve">https://bogota.gov.co/mi-ciudad/desarrollo-economico/bogota-lanza-conexion-bogota-experiencias-de-cafe-en-turismo</t>
  </si>
  <si>
    <t xml:space="preserve">G04</t>
  </si>
  <si>
    <t xml:space="preserve">Gran Festival de Cafés Especiales se toma La Candelaria</t>
  </si>
  <si>
    <t xml:space="preserve">Bogotá (La Candelaria)</t>
  </si>
  <si>
    <t xml:space="preserve">El Instituto Distrital de Turismo organizó un festival de cafés especiales en La Candelaria con once tiendas participantes.</t>
  </si>
  <si>
    <t xml:space="preserve">Sin cifras de asistentes ni de consumidores.</t>
  </si>
  <si>
    <t xml:space="preserve">https://bogota.gov.co/mi-ciudad/turismo/ii-festival-cafes-especiales-la-candelaria</t>
  </si>
  <si>
    <t xml:space="preserve">G05</t>
  </si>
  <si>
    <t xml:space="preserve">Tesis de pregrado</t>
  </si>
  <si>
    <t xml:space="preserve">Briceño Díaz, M. F.</t>
  </si>
  <si>
    <t xml:space="preserve">Caracterización de los estilos de vida, actitudes y prácticas de consumo de café orgánico en un grupo de consumidores de niveles socioeconómicos 4 y 5 de Bogotá</t>
  </si>
  <si>
    <t xml:space="preserve">Universidad Santo Tomás</t>
  </si>
  <si>
    <t xml:space="preserve">Bogotá (estratos 4 y 5)</t>
  </si>
  <si>
    <t xml:space="preserve">Encuesta estructurada; conglomerados K-means</t>
  </si>
  <si>
    <t xml:space="preserve">100</t>
  </si>
  <si>
    <t xml:space="preserve">Prácticas de consumo de café orgánico</t>
  </si>
  <si>
    <t xml:space="preserve">Rangos de edad y segmentos</t>
  </si>
  <si>
    <t xml:space="preserve">Un segmento se concentra entre 26 y 35 años y se orienta al medio ambiente; otro, entre 56 y 65, se motiva por la salud. El grupo de 56 a 65 es el más numeroso de la muestra (27 %).</t>
  </si>
  <si>
    <t xml:space="preserve">Café orgánico; muestra pequeña y no probabilística; no cruza edad con frecuencia de consumo.</t>
  </si>
  <si>
    <t xml:space="preserve">https://repository.usta.edu.co/bitstreams/6be8a30b-a547-4ccc-ac83-a1d070d5a56e/download</t>
  </si>
  <si>
    <t xml:space="preserve">G06</t>
  </si>
  <si>
    <t xml:space="preserve">Tesis de maestría</t>
  </si>
  <si>
    <t xml:space="preserve">Díaz Serrano, E. M.; Orjuela Mendoza, J. A.; Ríos Niño, A. F.</t>
  </si>
  <si>
    <t xml:space="preserve">La tasa perfecta. Análisis de las tendencias de consumo en los jóvenes a través de medios digitales en bebidas preparadas de café en la ciudad de Bogotá</t>
  </si>
  <si>
    <t xml:space="preserve">Universidad EAN</t>
  </si>
  <si>
    <t xml:space="preserve">Mixto: encuesta y observación de reseñas digitales</t>
  </si>
  <si>
    <t xml:space="preserve">243</t>
  </si>
  <si>
    <t xml:space="preserve">Hábitos de consumo de bebidas preparadas de café</t>
  </si>
  <si>
    <t xml:space="preserve">Población objetivo de 18 a 35 años</t>
  </si>
  <si>
    <t xml:space="preserve">61 % de los encuestados tiene entre 25 y 34 años. 53 % toma café a diario; 54 % lo consume en casa y 28 % en el trabajo.</t>
  </si>
  <si>
    <t xml:space="preserve">No trata café de especialidad ni compara grupos de edad; presenta inconsistencias internas.</t>
  </si>
  <si>
    <t xml:space="preserve">https://repository.universidadean.edu.co/bitstreams/10143f62-9b3c-42c0-b67b-83ed9bc6bb76/download</t>
  </si>
  <si>
    <t xml:space="preserve">G07</t>
  </si>
  <si>
    <t xml:space="preserve">Plazas Moncada, C. A.</t>
  </si>
  <si>
    <t xml:space="preserve">s. f. (trabajo de campo 2017-2019)</t>
  </si>
  <si>
    <t xml:space="preserve">Hacer el sabor del café: etnografía sobre la producción de significados en torno al café especial en tiendas especializadas, tostadoras y marcas de café, en Bogotá y Chía</t>
  </si>
  <si>
    <t xml:space="preserve">Universidad del Rosario</t>
  </si>
  <si>
    <t xml:space="preserve">Bogotá y Chía</t>
  </si>
  <si>
    <t xml:space="preserve">Etnografía</t>
  </si>
  <si>
    <t xml:space="preserve">Cerca de 45 notas de campo</t>
  </si>
  <si>
    <t xml:space="preserve">No la mide</t>
  </si>
  <si>
    <t xml:space="preserve">Describe cómo tiendas especializadas, tostadoras y marcas construyen el significado del café especial en Bogotá.</t>
  </si>
  <si>
    <t xml:space="preserve">Cualitativa; no mide edad ni demanda. Falta verificar el año.</t>
  </si>
  <si>
    <t xml:space="preserve">https://repository.urosario.edu.co/bitstreams/2b942efa-20ba-4d29-b3d6-76ea247da52c/download</t>
  </si>
  <si>
    <t xml:space="preserve">G08</t>
  </si>
  <si>
    <t xml:space="preserve">García-Casas, D. S.; Herrera-Zipacón, B. M.</t>
  </si>
  <si>
    <t xml:space="preserve">Puntos representativos de café en las localidades de Candelaria, Chapinero, Usaquén y Mártires</t>
  </si>
  <si>
    <t xml:space="preserve">Universidad Agustiniana</t>
  </si>
  <si>
    <t xml:space="preserve">Bogotá (4 localidades)</t>
  </si>
  <si>
    <t xml:space="preserve">Observación, revisión documental y encuestas</t>
  </si>
  <si>
    <t xml:space="preserve">No indicada en la ficha</t>
  </si>
  <si>
    <t xml:space="preserve">No reporta datos</t>
  </si>
  <si>
    <t xml:space="preserve">Selecciona Usaquén, Chapinero, La Candelaria y Los Mártires porque, según el Instituto Distrital de Turismo, reciben el mayor flujo turístico y tienen un sector gastronómico destacado.</t>
  </si>
  <si>
    <t xml:space="preserve">Se revisó la ficha del repositorio, no el texto completo; sin datos de edad.</t>
  </si>
  <si>
    <t xml:space="preserve">https://repositorio.uniagustiniana.edu.co/items/90c76303-0a0d-4a5d-891b-dc36987b0c47/full</t>
  </si>
  <si>
    <t xml:space="preserve">G09</t>
  </si>
  <si>
    <t xml:space="preserve">Autor por verificar en el repositorio</t>
  </si>
  <si>
    <t xml:space="preserve">Los Cafés del Centro Histórico de la Candelaria, una oportunidad para el turismo en Bogotá</t>
  </si>
  <si>
    <t xml:space="preserve">Universidad Colegio Mayor de Cundinamarca</t>
  </si>
  <si>
    <t xml:space="preserve">Mixto: entrevista, encuesta y observación</t>
  </si>
  <si>
    <t xml:space="preserve">Percepciones de visitantes</t>
  </si>
  <si>
    <t xml:space="preserve">Los cafés de especialidad de La Candelaria atraen visitantes nacionales y extranjeros motivados por la experiencia.</t>
  </si>
  <si>
    <t xml:space="preserve">Se revisó la ficha del repositorio, no el texto completo; falta el autor.</t>
  </si>
  <si>
    <t xml:space="preserve">https://repositorio.universidadmayor.edu.co/handle/unicolmayor/5588</t>
  </si>
  <si>
    <t xml:space="preserve">G10</t>
  </si>
  <si>
    <t xml:space="preserve">Artículo en revista universitaria</t>
  </si>
  <si>
    <t xml:space="preserve">Morales Quijano, J.; López Betancur, S.</t>
  </si>
  <si>
    <t xml:space="preserve">s. f. (referencias hasta 2010)</t>
  </si>
  <si>
    <t xml:space="preserve">El consumo del café en Medellín desde la perspectiva del comportamiento del consumidor</t>
  </si>
  <si>
    <t xml:space="preserve">Revista Soluciones de Postgrado EIA</t>
  </si>
  <si>
    <t xml:space="preserve">Colombia (Medellín)</t>
  </si>
  <si>
    <t xml:space="preserve">Exploratorio: 3 entrevistas a expertos y cuestionario</t>
  </si>
  <si>
    <t xml:space="preserve">137</t>
  </si>
  <si>
    <t xml:space="preserve">Frecuencia diaria y motivos de consumo</t>
  </si>
  <si>
    <t xml:space="preserve">El consumo se concentra en adultos y entre los jóvenes aún no es significativo. Promedio de 2,85 tazas diarias.</t>
  </si>
  <si>
    <t xml:space="preserve">Anterior al auge del café de especialidad; sin cifras por edad. Falta verificar el año.</t>
  </si>
  <si>
    <t xml:space="preserve">https://revista.eia.edu.co/index.php/SDP/article/view/337</t>
  </si>
  <si>
    <t xml:space="preserve">G11</t>
  </si>
  <si>
    <t xml:space="preserve">Prensa</t>
  </si>
  <si>
    <t xml:space="preserve">Colombia.com</t>
  </si>
  <si>
    <t xml:space="preserve">Café de especialidad colombiano: una propuesta que hasta los más jóvenes han adaptado a sus días</t>
  </si>
  <si>
    <t xml:space="preserve">Nota de prensa</t>
  </si>
  <si>
    <t xml:space="preserve">Afirma que el crecimiento del café de especialidad lo impulsan consumidores jóvenes y urbanos.</t>
  </si>
  <si>
    <t xml:space="preserve">Sin cifras, sin rangos de edad y sin fuente identificable.</t>
  </si>
  <si>
    <t xml:space="preserve">https://www.colombia.com/gastronomia/noticias/cafe-de-especialidad-colombiano-donde-encontrarlo-565209</t>
  </si>
  <si>
    <t xml:space="preserve">Flujo PRISMA</t>
  </si>
  <si>
    <t xml:space="preserve">Académica (Consensus)</t>
  </si>
  <si>
    <t xml:space="preserve">Literatura gris (web)</t>
  </si>
  <si>
    <t xml:space="preserve">Total</t>
  </si>
  <si>
    <t xml:space="preserve">Identificación</t>
  </si>
  <si>
    <t xml:space="preserve">Registros identificados</t>
  </si>
  <si>
    <t xml:space="preserve">Duplicados eliminados</t>
  </si>
  <si>
    <t xml:space="preserve">Cribado</t>
  </si>
  <si>
    <t xml:space="preserve">Registros cribados por título y resumen</t>
  </si>
  <si>
    <t xml:space="preserve">Registros excluidos</t>
  </si>
  <si>
    <t xml:space="preserve">Inclusión</t>
  </si>
  <si>
    <t xml:space="preserve">Documentos incluidos</t>
  </si>
  <si>
    <t xml:space="preserve">Comprobación (debe ser 0)</t>
  </si>
  <si>
    <t xml:space="preserve">Motivos de exclusión</t>
  </si>
  <si>
    <t xml:space="preserve">Registros</t>
  </si>
  <si>
    <t xml:space="preserve">Describe la edad de la muestra sin relacionarla con la demanda</t>
  </si>
  <si>
    <t xml:space="preserve">Enfoque en salud, sin medida de demanda</t>
  </si>
  <si>
    <t xml:space="preserve">Fuera de tema: no estudia demanda de café</t>
  </si>
  <si>
    <t xml:space="preserve">Integridad dudosa: resumen casi idéntico al de Yang et al. (2012)</t>
  </si>
  <si>
    <t xml:space="preserve">La edad se vincula a percepción de salud, no a demanda</t>
  </si>
  <si>
    <t xml:space="preserve">No reporta resultados por edad o generación en el resumen</t>
  </si>
  <si>
    <t xml:space="preserve">Preferencia sensorial, no demanda</t>
  </si>
  <si>
    <t xml:space="preserve">Una sola cohorte, sin medida de demanda ni comparación por edad</t>
  </si>
  <si>
    <t xml:space="preserve">Sin datos de consumidores ni de zonas</t>
  </si>
  <si>
    <t xml:space="preserve">Sin datos de consumidores por edad; cifras de 2014 sin fuente</t>
  </si>
  <si>
    <t xml:space="preserve">Sin datos de edad; contenido promocional de una marca</t>
  </si>
  <si>
    <t xml:space="preserve">Sin datos por edad ni sobre cafeterías</t>
  </si>
  <si>
    <t xml:space="preserve">Total excluidos</t>
  </si>
  <si>
    <t xml:space="preserve">Criterios y limitaciones</t>
  </si>
  <si>
    <t xml:space="preserve">Inclusión 1: estudia consumo, compra, visita a cafeterías o disposición a pagar por café, o la localización de cafeterías frente a la demografía de la zona.</t>
  </si>
  <si>
    <t xml:space="preserve">Inclusión 2: reporta un resultado por edad o generación, caracteriza con medidas de demanda a una cohorte definida, o describe el consumo de café de especialidad de una generación.</t>
  </si>
  <si>
    <t xml:space="preserve">Literatura gris: se incluye si trata el consumo de café o las cafeterías de especialidad en Colombia o Bogotá y aporta datos de consumidores o de zonas.</t>
  </si>
  <si>
    <t xml:space="preserve">El cribado se hizo sobre título y resumen. Falta la lectura de texto completo de los documentos incluidos (fase de elegibilidad de PRISMA).</t>
  </si>
  <si>
    <t xml:space="preserve">Consensus devuelve los resultados más relevantes de cada pregunta, no todos los existentes: la búsqueda no es exhaustiva.</t>
  </si>
  <si>
    <t xml:space="preserve">La literatura gris la buscó y abrió Claude el 2026-10-07 mediante búsqueda web; el equipo debe verificarla y puede ampliarla.</t>
  </si>
  <si>
    <t xml:space="preserve">Los resúmenes automáticos de Consensus tienen errores (por ejemplo, ubican Puno en Chile). Los hallazgos de la hoja Documentos se tomaron del resumen original de cada artículo.</t>
  </si>
  <si>
    <t xml:space="preserve">Entrega 2b: se leyó el texto completo de 4 estudios (A37, A39, A45, A53). La columna amarilla 'Verificado por el equipo' de la hoja Documentos queda para que el equipo confirme cada fuente original.</t>
  </si>
  <si>
    <t xml:space="preserve">Origen</t>
  </si>
  <si>
    <t xml:space="preserve">Búsquedas en que apareció</t>
  </si>
  <si>
    <t xml:space="preserve">Decisión</t>
  </si>
  <si>
    <t xml:space="preserve">Motivo de exclusión</t>
  </si>
  <si>
    <t xml:space="preserve">Consensus</t>
  </si>
  <si>
    <t xml:space="preserve">Incluido</t>
  </si>
  <si>
    <t xml:space="preserve">A06</t>
  </si>
  <si>
    <t xml:space="preserve">Ayu Wulandari Priyambodoi, A. Kholil</t>
  </si>
  <si>
    <t xml:space="preserve">Willingness To Pay Fair Trade Coffee In Malang East Java Indonesia</t>
  </si>
  <si>
    <t xml:space="preserve">Excluido</t>
  </si>
  <si>
    <t xml:space="preserve">A07</t>
  </si>
  <si>
    <t xml:space="preserve">Consumers’ Perceptions of Coffee Health Benefits and Motives for Coffee Consumption and Purchasing</t>
  </si>
  <si>
    <t xml:space="preserve">A08</t>
  </si>
  <si>
    <t xml:space="preserve">Chun-Chu Liu, Chu-Wei Chen, Han-Shen Chen</t>
  </si>
  <si>
    <t xml:space="preserve">Measuring Consumer Preferences and Willingness to Pay for Coffee Certification Labels in Taiwan</t>
  </si>
  <si>
    <t xml:space="preserve">A09</t>
  </si>
  <si>
    <t xml:space="preserve">Veenarat Ut-tha, Pai-Po Lee, R. Chung</t>
  </si>
  <si>
    <t xml:space="preserve">Willingness to Pay for Sustainable Coffee: A Case of Thai Consumers</t>
  </si>
  <si>
    <t xml:space="preserve">A10</t>
  </si>
  <si>
    <t xml:space="preserve">B. Kurek, Ireneusz Górowski</t>
  </si>
  <si>
    <t xml:space="preserve">Willingness to Pay for Green Energy: Exploring Generation Z Perspectives</t>
  </si>
  <si>
    <t xml:space="preserve">A11</t>
  </si>
  <si>
    <t xml:space="preserve">Andika Wicaksono Putro, Å. Rinnan, M. B. Frøst</t>
  </si>
  <si>
    <t xml:space="preserve">Indonesians would like their coffee produced organically! – Preferences for iced coffee analysed with a discrete choice experiment</t>
  </si>
  <si>
    <t xml:space="preserve">A14</t>
  </si>
  <si>
    <t xml:space="preserve">Y. Rahayu, U. Sumarwan, Y. Asnawi</t>
  </si>
  <si>
    <t xml:space="preserve">Perception Analysis of Purchasing Attitude And Willingness To Pay For Coffee and Non-Coffee Beverage Products</t>
  </si>
  <si>
    <t xml:space="preserve">A15</t>
  </si>
  <si>
    <t xml:space="preserve">Nizam Abdu, Judith Mutuku</t>
  </si>
  <si>
    <t xml:space="preserve">Willingness to pay for socially responsible products: A meta−analysis of coffee ecolabelling</t>
  </si>
  <si>
    <t xml:space="preserve">A16</t>
  </si>
  <si>
    <t xml:space="preserve">K. Fuller, Carola Grebitus</t>
  </si>
  <si>
    <t xml:space="preserve">Consumers' preferences and willingness to pay for coffee sustainability labels</t>
  </si>
  <si>
    <t xml:space="preserve">A17</t>
  </si>
  <si>
    <t xml:space="preserve">D. Ufer, Wen Lin, David L. Ortega</t>
  </si>
  <si>
    <t xml:space="preserve">Personality traits and preferences for specialty coffee: Results from a coffee shop field experiment.</t>
  </si>
  <si>
    <t xml:space="preserve">A19</t>
  </si>
  <si>
    <t xml:space="preserve">Sutan Mhd Amin Jamal, Edy Prasetyo</t>
  </si>
  <si>
    <t xml:space="preserve">KESEDIAAN MEMBAYAR (WILLINGNESS TO PAY) TERHADAP PRODUK COFFEE LATTE DI KOTA SEMARANG</t>
  </si>
  <si>
    <t xml:space="preserve">A20</t>
  </si>
  <si>
    <t xml:space="preserve">Shang-Ho Yang, Wu-Yang Hu, Malvern Mupandawana, Yun Liu</t>
  </si>
  <si>
    <t xml:space="preserve">2012</t>
  </si>
  <si>
    <t xml:space="preserve">Consumer Willingness to Pay for Fair Trade Coffee: A Chinese Case Study</t>
  </si>
  <si>
    <t xml:space="preserve">A23</t>
  </si>
  <si>
    <t xml:space="preserve">H. Yi, Shu-Tian Ng, Cheng-Mun Chang, C. Low, C. Tan</t>
  </si>
  <si>
    <t xml:space="preserve">Effects of neighborhood features on healthy aging in place: the composition and context of urban parks and traditional local coffeeshops in Singapore</t>
  </si>
  <si>
    <t xml:space="preserve">A26</t>
  </si>
  <si>
    <t xml:space="preserve">J. Finlay, Michael H. Esposito, Sandra Tang, Iris N. Gomez-Lopez, Dominique L Sylvers, S. Judd, Philippa J. Clarke</t>
  </si>
  <si>
    <t xml:space="preserve">Fast-food for thought: Retail food environments as resources for cognitive health and wellbeing among aging Americans?</t>
  </si>
  <si>
    <t xml:space="preserve">Does the age profile of coffee shop customers vary by urban area or neighborhood type? | Is age associated with frequency of coffee shop visits?</t>
  </si>
  <si>
    <t xml:space="preserve">A27</t>
  </si>
  <si>
    <t xml:space="preserve">Novi Catur Muspita, Ainun Najib</t>
  </si>
  <si>
    <t xml:space="preserve">THE PHENOMENA OF BEHAVIOR HANDLING IN COFFEE SHOPS AS A PUBLIC SPACE: STUDY ON CONSUMERS OF DREAM COFFE KOPI STORES In BLITAR CITY</t>
  </si>
  <si>
    <t xml:space="preserve">A35</t>
  </si>
  <si>
    <t xml:space="preserve">D. Ismoyowati, F. Wijayanti</t>
  </si>
  <si>
    <t xml:space="preserve">Millennials' Consumer Behavior in the Coffee Agroindustry: The Effect of Consumer Attitudes on Purchasing Decisions</t>
  </si>
  <si>
    <t xml:space="preserve">A38</t>
  </si>
  <si>
    <t xml:space="preserve">Ave Agatha Simamora, Hanry Imanuel, Firman Rahmadi, Yayasan Pusat, Studi Pembangunan, Manusia Dan, Alam Sekitar</t>
  </si>
  <si>
    <t xml:space="preserve">Consumer Preferences for Gayo Coffee and Cappuccino Among Agribusiness Students at Universitas Medan Area</t>
  </si>
  <si>
    <t xml:space="preserve">A40</t>
  </si>
  <si>
    <t xml:space="preserve">M. Mit</t>
  </si>
  <si>
    <t xml:space="preserve">FACTORS INFLUENCING COFFEE CONSUMPTION DECISIONS AMONG YOUNG ADULTS IN PHNOM PENH</t>
  </si>
  <si>
    <t xml:space="preserve">A41</t>
  </si>
  <si>
    <t xml:space="preserve">Joy Xue</t>
  </si>
  <si>
    <t xml:space="preserve">Study on Relationship Between Age and Coffee Preference: Application to Specialty Coffee Association Brewing Control Chart</t>
  </si>
  <si>
    <t xml:space="preserve">A43</t>
  </si>
  <si>
    <t xml:space="preserve">Ayoob Lone, A. Alnawah, A. Hadadi, F. M. Alturkie, Yousef Aldreweesh, A. Alhedhod</t>
  </si>
  <si>
    <t xml:space="preserve">Coffee Consumption Behavior in Young Adults: Exploring Motivations, Frequencies, and Reporting Adverse Effects and Withdrawal Symptoms</t>
  </si>
  <si>
    <t xml:space="preserve">A49</t>
  </si>
  <si>
    <t xml:space="preserve">Muhammad As'ad Rosyadi, Tri Endar Suswatiningsih, Arum Ambarsari</t>
  </si>
  <si>
    <t xml:space="preserve">Analisis Pengaruh Bauran Pemasaran terhadap Perilaku Konsumen Kopi (Studi Kasus: Konsumen Kedai Kopi di Desa Condong Catur Kecamatan Depok Kabupaten Sleman)</t>
  </si>
  <si>
    <t xml:space="preserve">A52</t>
  </si>
  <si>
    <t xml:space="preserve">P. Orfanos, A. Naska, D. Trichopoulos, N. Slimani, P. Ferrari, M. V. van Bakel, G. Deharveng, K. Overvad, A. Tjønneland, J. Halkjaer, Maria Santucci de Magistris, R. Tumino, V. Pala, C. Sacerdote, G. Masala, G. Skeie, D. Engeset, E. Lund, P. Jakszyn, A. Barricarte, M. Chirlaque, C. Martínez-García, P. Amiano, J. Quirós, S. Bingham, A. Welch, E. Spencer, T. Key, S. Rohrmann, J. Linseisen, Jennifer Ray, H. Boeing, P. Peeters, H. Bueno-de-Mesquita, M. Ocké, I. Johansson, G. Johansson, G. Berglund, J. Manjer, M. Boutron-Ruault, M. Touvier, F. Clavel-Chapelon, A. Trichopoulou</t>
  </si>
  <si>
    <t xml:space="preserve">2007</t>
  </si>
  <si>
    <t xml:space="preserve">Eating out of home and its correlates in 10 European countries. The European Prospective Investigation into Cancer and Nutrition (EPIC) study</t>
  </si>
  <si>
    <t xml:space="preserve">Búsqueda web</t>
  </si>
  <si>
    <t xml:space="preserve">G02</t>
  </si>
  <si>
    <t xml:space="preserve">Bloomberg Línea</t>
  </si>
  <si>
    <t xml:space="preserve">Cambio generacional en el consumo del café colombiano, ¿qué edades lo toman más?</t>
  </si>
  <si>
    <t xml:space="preserve">Duplica el contenido de G01 (mismo estudio de Reinova)</t>
  </si>
  <si>
    <t xml:space="preserve">G12</t>
  </si>
  <si>
    <t xml:space="preserve">Colprensa</t>
  </si>
  <si>
    <t xml:space="preserve">Más de 10 mil negocios venden café en Colombia</t>
  </si>
  <si>
    <t xml:space="preserve">G13</t>
  </si>
  <si>
    <t xml:space="preserve">Toquica, L.</t>
  </si>
  <si>
    <t xml:space="preserve">Del Quindío a la puerta de su casa: el café de especialidad gana terreno en Colombia</t>
  </si>
  <si>
    <t xml:space="preserve">G14</t>
  </si>
  <si>
    <t xml:space="preserve">Blu Radio</t>
  </si>
  <si>
    <t xml:space="preserve">Colombianos cambian su forma de tomar café, según estudio de Fedecafé</t>
  </si>
  <si>
    <t xml:space="preserve">G15</t>
  </si>
  <si>
    <t xml:space="preserve">El Tiempo</t>
  </si>
  <si>
    <t xml:space="preserve">Coffee Master, del 11 al 23 de agosto: programación y mapa</t>
  </si>
  <si>
    <t xml:space="preserve">Herramienta</t>
  </si>
  <si>
    <t xml:space="preserve">Pregunta o cadena de búsqueda</t>
  </si>
  <si>
    <t xml:space="preserve">Fecha</t>
  </si>
  <si>
    <t xml:space="preserve">Registros exportados</t>
  </si>
  <si>
    <t xml:space="preserve">Nota</t>
  </si>
  <si>
    <t xml:space="preserve">B1</t>
  </si>
  <si>
    <t xml:space="preserve">2026-10-07</t>
  </si>
  <si>
    <t xml:space="preserve">Exportación CSV enviada por el equipo</t>
  </si>
  <si>
    <t xml:space="preserve">B2</t>
  </si>
  <si>
    <t xml:space="preserve">B3</t>
  </si>
  <si>
    <t xml:space="preserve">B4</t>
  </si>
  <si>
    <t xml:space="preserve">B5</t>
  </si>
  <si>
    <t xml:space="preserve">café de especialidad Bogotá consumidores jóvenes tiendas de café crecimiento</t>
  </si>
  <si>
    <t xml:space="preserve">Se abrieron y evaluaron 15 documentos en total entre las seis búsquedas web</t>
  </si>
  <si>
    <t xml:space="preserve">B6</t>
  </si>
  <si>
    <t xml:space="preserve">tesis perfil del consumidor café especial Bogotá edad repositorio universidad</t>
  </si>
  <si>
    <t xml:space="preserve">B7</t>
  </si>
  <si>
    <t xml:space="preserve">Federación Nacional de Cafeteros consumo interno café Colombia estudio consumidores edad jóvenes</t>
  </si>
  <si>
    <t xml:space="preserve">B8</t>
  </si>
  <si>
    <t xml:space="preserve">Cámara de Comercio de Bogotá cafés especiales Bogotá estudio tiendas de café Secretaría Desarrollo Económico</t>
  </si>
  <si>
    <t xml:space="preserve">B9</t>
  </si>
  <si>
    <t xml:space="preserve">"café de especialidad" OR "cafés especiales" Bogotá consumidor caracterización encuesta edad trabajo de grado Chapinero</t>
  </si>
  <si>
    <t xml:space="preserve">B10</t>
  </si>
  <si>
    <t xml:space="preserve">número de tiendas de café de especialidad en Bogotá localidades Chapinero Usaquén cifras 2025</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</si>
</sst>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D9E2F3"/>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18"/>
    <col collapsed="false" customWidth="true" hidden="false" outlineLevel="0" max="4" min="4" style="1" width="28"/>
    <col collapsed="false" customWidth="true" hidden="false" outlineLevel="0" max="5" min="5" style="1" width="8"/>
    <col collapsed="false" customWidth="true" hidden="false" outlineLevel="0" max="6" min="6" style="1" width="45"/>
    <col collapsed="false" customWidth="true" hidden="false" outlineLevel="0" max="7" min="7" style="1" width="24"/>
    <col collapsed="false" customWidth="true" hidden="false" outlineLevel="0" max="8" min="8" style="1" width="20"/>
    <col collapsed="false" customWidth="true" hidden="false" outlineLevel="0" max="9" min="9" style="1" width="28"/>
    <col collapsed="false" customWidth="true" hidden="false" outlineLevel="0" max="10" min="10" style="1" width="18"/>
    <col collapsed="false" customWidth="true" hidden="false" outlineLevel="0" max="11" min="11" style="1" width="26"/>
    <col collapsed="false" customWidth="true" hidden="false" outlineLevel="0" max="12" min="12" style="1" width="22"/>
    <col collapsed="false" customWidth="true" hidden="false" outlineLevel="0" max="13" min="13" style="1" width="60"/>
    <col collapsed="false" customWidth="true" hidden="false" outlineLevel="0" max="14" min="14" style="1" width="13"/>
    <col collapsed="false" customWidth="true" hidden="false" outlineLevel="0" max="15" min="15" style="1" width="22"/>
    <col collapsed="false" customWidth="true" hidden="false" outlineLevel="0" max="16" min="16" style="1" width="12"/>
    <col collapsed="false" customWidth="true" hidden="false" outlineLevel="0" max="17" min="17" style="1" width="45"/>
    <col collapsed="false" customWidth="true" hidden="false" outlineLevel="0" max="18" min="18" style="1" width="38"/>
    <col collapsed="false" customWidth="true" hidden="false" outlineLevel="0" max="19" min="19" style="1" width="40"/>
    <col collapsed="false" customWidth="true" hidden="false" outlineLevel="0" max="20" min="20" style="0" width="24"/>
    <col collapsed="false" customWidth="true" hidden="false" outlineLevel="0" max="21" min="21" style="0" width="60"/>
    <col collapsed="false" customWidth="true" hidden="false" outlineLevel="0" max="23" min="22" style="0" width="16"/>
  </cols>
  <sheetData>
    <row r="1" customFormat="false" ht="31.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customFormat="false" ht="45.75" hidden="false" customHeight="true" outlineLevel="0" collapsed="false">
      <c r="A2" s="3" t="s">
        <v>23</v>
      </c>
      <c r="B2" s="3" t="s">
        <v>24</v>
      </c>
      <c r="C2" s="3" t="s">
        <v>25</v>
      </c>
      <c r="D2" s="3" t="s">
        <v>26</v>
      </c>
      <c r="E2" s="3" t="s">
        <v>27</v>
      </c>
      <c r="F2" s="3" t="s">
        <v>28</v>
      </c>
      <c r="G2" s="3" t="s">
        <v>29</v>
      </c>
      <c r="H2" s="3" t="s">
        <v>30</v>
      </c>
      <c r="I2" s="3" t="s">
        <v>31</v>
      </c>
      <c r="J2" s="3" t="s">
        <v>32</v>
      </c>
      <c r="K2" s="3" t="s">
        <v>33</v>
      </c>
      <c r="L2" s="3" t="s">
        <v>34</v>
      </c>
      <c r="M2" s="3" t="s">
        <v>35</v>
      </c>
      <c r="N2" s="3" t="s">
        <v>36</v>
      </c>
      <c r="O2" s="3" t="s">
        <v>37</v>
      </c>
      <c r="P2" s="3" t="s">
        <v>38</v>
      </c>
      <c r="Q2" s="3" t="s">
        <v>39</v>
      </c>
      <c r="R2" s="3" t="s">
        <v>40</v>
      </c>
      <c r="S2" s="3" t="s">
        <v>41</v>
      </c>
      <c r="T2" s="3" t="s">
        <v>42</v>
      </c>
      <c r="U2" s="3" t="s">
        <v>43</v>
      </c>
      <c r="V2" s="3" t="s">
        <v>44</v>
      </c>
      <c r="W2" s="4"/>
    </row>
    <row r="3" customFormat="false" ht="34.5" hidden="false" customHeight="true" outlineLevel="0" collapsed="false">
      <c r="A3" s="3" t="s">
        <v>45</v>
      </c>
      <c r="B3" s="3" t="s">
        <v>24</v>
      </c>
      <c r="C3" s="3" t="s">
        <v>25</v>
      </c>
      <c r="D3" s="3" t="s">
        <v>46</v>
      </c>
      <c r="E3" s="3" t="s">
        <v>47</v>
      </c>
      <c r="F3" s="3" t="s">
        <v>48</v>
      </c>
      <c r="G3" s="3" t="s">
        <v>49</v>
      </c>
      <c r="H3" s="3" t="s">
        <v>50</v>
      </c>
      <c r="I3" s="3" t="s">
        <v>51</v>
      </c>
      <c r="J3" s="3" t="s">
        <v>52</v>
      </c>
      <c r="K3" s="3" t="s">
        <v>53</v>
      </c>
      <c r="L3" s="3" t="s">
        <v>34</v>
      </c>
      <c r="M3" s="3" t="s">
        <v>54</v>
      </c>
      <c r="N3" s="3" t="s">
        <v>55</v>
      </c>
      <c r="O3" s="3" t="s">
        <v>37</v>
      </c>
      <c r="P3" s="3" t="s">
        <v>56</v>
      </c>
      <c r="Q3" s="3" t="s">
        <v>57</v>
      </c>
      <c r="R3" s="3" t="s">
        <v>58</v>
      </c>
      <c r="S3" s="3" t="s">
        <v>41</v>
      </c>
      <c r="T3" s="3" t="s">
        <v>42</v>
      </c>
      <c r="U3" s="3" t="s">
        <v>43</v>
      </c>
      <c r="V3" s="3" t="s">
        <v>44</v>
      </c>
      <c r="W3" s="4"/>
    </row>
    <row r="4" customFormat="false" ht="45.75" hidden="false" customHeight="true" outlineLevel="0" collapsed="false">
      <c r="A4" s="3" t="s">
        <v>59</v>
      </c>
      <c r="B4" s="3" t="s">
        <v>24</v>
      </c>
      <c r="C4" s="3" t="s">
        <v>60</v>
      </c>
      <c r="D4" s="3" t="s">
        <v>61</v>
      </c>
      <c r="E4" s="3" t="s">
        <v>62</v>
      </c>
      <c r="F4" s="3" t="s">
        <v>63</v>
      </c>
      <c r="G4" s="3" t="s">
        <v>64</v>
      </c>
      <c r="H4" s="3" t="s">
        <v>65</v>
      </c>
      <c r="I4" s="3" t="s">
        <v>66</v>
      </c>
      <c r="J4" s="3" t="s">
        <v>67</v>
      </c>
      <c r="K4" s="3" t="s">
        <v>68</v>
      </c>
      <c r="L4" s="3" t="s">
        <v>69</v>
      </c>
      <c r="M4" s="3" t="s">
        <v>70</v>
      </c>
      <c r="N4" s="3" t="s">
        <v>55</v>
      </c>
      <c r="O4" s="3" t="s">
        <v>71</v>
      </c>
      <c r="P4" s="3" t="s">
        <v>38</v>
      </c>
      <c r="Q4" s="3" t="s">
        <v>72</v>
      </c>
      <c r="R4" s="3" t="s">
        <v>73</v>
      </c>
      <c r="S4" s="3" t="s">
        <v>74</v>
      </c>
      <c r="T4" s="3" t="s">
        <v>75</v>
      </c>
      <c r="U4" s="3" t="s">
        <v>43</v>
      </c>
      <c r="V4" s="3" t="s">
        <v>44</v>
      </c>
      <c r="W4" s="4"/>
    </row>
    <row r="5" customFormat="false" ht="34.5" hidden="false" customHeight="true" outlineLevel="0" collapsed="false">
      <c r="A5" s="3" t="s">
        <v>76</v>
      </c>
      <c r="B5" s="3" t="s">
        <v>24</v>
      </c>
      <c r="C5" s="3" t="s">
        <v>77</v>
      </c>
      <c r="D5" s="3" t="s">
        <v>78</v>
      </c>
      <c r="E5" s="3" t="s">
        <v>27</v>
      </c>
      <c r="F5" s="3" t="s">
        <v>79</v>
      </c>
      <c r="G5" s="3" t="s">
        <v>80</v>
      </c>
      <c r="H5" s="3" t="s">
        <v>81</v>
      </c>
      <c r="I5" s="3" t="s">
        <v>82</v>
      </c>
      <c r="J5" s="3" t="s">
        <v>32</v>
      </c>
      <c r="K5" s="3" t="s">
        <v>83</v>
      </c>
      <c r="L5" s="3" t="s">
        <v>84</v>
      </c>
      <c r="M5" s="3" t="s">
        <v>85</v>
      </c>
      <c r="N5" s="3" t="s">
        <v>86</v>
      </c>
      <c r="O5" s="3" t="s">
        <v>87</v>
      </c>
      <c r="P5" s="3" t="s">
        <v>38</v>
      </c>
      <c r="Q5" s="3" t="s">
        <v>88</v>
      </c>
      <c r="R5" s="3" t="s">
        <v>89</v>
      </c>
      <c r="S5" s="3" t="s">
        <v>90</v>
      </c>
      <c r="T5" s="3" t="s">
        <v>91</v>
      </c>
      <c r="U5" s="3" t="s">
        <v>92</v>
      </c>
      <c r="V5" s="3" t="s">
        <v>44</v>
      </c>
      <c r="W5" s="4"/>
    </row>
    <row r="6" customFormat="false" ht="57" hidden="false" customHeight="true" outlineLevel="0" collapsed="false">
      <c r="A6" s="3" t="s">
        <v>93</v>
      </c>
      <c r="B6" s="3" t="s">
        <v>24</v>
      </c>
      <c r="C6" s="3" t="s">
        <v>25</v>
      </c>
      <c r="D6" s="3" t="s">
        <v>94</v>
      </c>
      <c r="E6" s="3" t="s">
        <v>95</v>
      </c>
      <c r="F6" s="3" t="s">
        <v>96</v>
      </c>
      <c r="G6" s="3" t="s">
        <v>97</v>
      </c>
      <c r="H6" s="3" t="s">
        <v>98</v>
      </c>
      <c r="I6" s="3" t="s">
        <v>99</v>
      </c>
      <c r="J6" s="3" t="s">
        <v>32</v>
      </c>
      <c r="K6" s="3" t="s">
        <v>100</v>
      </c>
      <c r="L6" s="3" t="s">
        <v>84</v>
      </c>
      <c r="M6" s="3" t="s">
        <v>101</v>
      </c>
      <c r="N6" s="3" t="s">
        <v>55</v>
      </c>
      <c r="O6" s="3" t="s">
        <v>87</v>
      </c>
      <c r="P6" s="3" t="s">
        <v>56</v>
      </c>
      <c r="Q6" s="3" t="s">
        <v>102</v>
      </c>
      <c r="R6" s="3" t="s">
        <v>103</v>
      </c>
      <c r="S6" s="3" t="s">
        <v>104</v>
      </c>
      <c r="T6" s="3" t="s">
        <v>105</v>
      </c>
      <c r="U6" s="3" t="s">
        <v>43</v>
      </c>
      <c r="V6" s="3" t="s">
        <v>44</v>
      </c>
      <c r="W6" s="4"/>
    </row>
    <row r="7" customFormat="false" ht="45.75" hidden="false" customHeight="true" outlineLevel="0" collapsed="false">
      <c r="A7" s="3" t="s">
        <v>106</v>
      </c>
      <c r="B7" s="3" t="s">
        <v>24</v>
      </c>
      <c r="C7" s="3" t="s">
        <v>107</v>
      </c>
      <c r="D7" s="3" t="s">
        <v>108</v>
      </c>
      <c r="E7" s="3" t="s">
        <v>95</v>
      </c>
      <c r="F7" s="3" t="s">
        <v>109</v>
      </c>
      <c r="G7" s="3" t="s">
        <v>110</v>
      </c>
      <c r="H7" s="3" t="s">
        <v>111</v>
      </c>
      <c r="I7" s="3" t="s">
        <v>112</v>
      </c>
      <c r="J7" s="3" t="s">
        <v>113</v>
      </c>
      <c r="K7" s="3" t="s">
        <v>114</v>
      </c>
      <c r="L7" s="3" t="s">
        <v>115</v>
      </c>
      <c r="M7" s="3" t="s">
        <v>116</v>
      </c>
      <c r="N7" s="3" t="s">
        <v>55</v>
      </c>
      <c r="O7" s="3" t="s">
        <v>87</v>
      </c>
      <c r="P7" s="3" t="s">
        <v>38</v>
      </c>
      <c r="Q7" s="3" t="s">
        <v>117</v>
      </c>
      <c r="R7" s="3" t="s">
        <v>118</v>
      </c>
      <c r="S7" s="3" t="s">
        <v>90</v>
      </c>
      <c r="T7" s="3" t="s">
        <v>119</v>
      </c>
      <c r="U7" s="3" t="s">
        <v>120</v>
      </c>
      <c r="V7" s="3" t="s">
        <v>44</v>
      </c>
      <c r="W7" s="4"/>
    </row>
    <row r="8" customFormat="false" ht="23.25" hidden="false" customHeight="true" outlineLevel="0" collapsed="false">
      <c r="A8" s="3" t="s">
        <v>121</v>
      </c>
      <c r="B8" s="3" t="s">
        <v>24</v>
      </c>
      <c r="C8" s="3" t="s">
        <v>25</v>
      </c>
      <c r="D8" s="3" t="s">
        <v>122</v>
      </c>
      <c r="E8" s="3" t="s">
        <v>123</v>
      </c>
      <c r="F8" s="3" t="s">
        <v>124</v>
      </c>
      <c r="G8" s="3" t="s">
        <v>125</v>
      </c>
      <c r="H8" s="3" t="s">
        <v>126</v>
      </c>
      <c r="I8" s="3" t="s">
        <v>127</v>
      </c>
      <c r="J8" s="3" t="s">
        <v>128</v>
      </c>
      <c r="K8" s="3" t="s">
        <v>129</v>
      </c>
      <c r="L8" s="3" t="s">
        <v>130</v>
      </c>
      <c r="M8" s="3" t="s">
        <v>131</v>
      </c>
      <c r="N8" s="3" t="s">
        <v>55</v>
      </c>
      <c r="O8" s="3" t="s">
        <v>37</v>
      </c>
      <c r="P8" s="3" t="s">
        <v>56</v>
      </c>
      <c r="Q8" s="3" t="s">
        <v>132</v>
      </c>
      <c r="R8" s="3" t="s">
        <v>133</v>
      </c>
      <c r="S8" s="3" t="s">
        <v>41</v>
      </c>
      <c r="T8" s="3" t="s">
        <v>42</v>
      </c>
      <c r="U8" s="3" t="s">
        <v>43</v>
      </c>
      <c r="V8" s="3" t="s">
        <v>44</v>
      </c>
      <c r="W8" s="4"/>
    </row>
    <row r="9" customFormat="false" ht="34.5" hidden="false" customHeight="true" outlineLevel="0" collapsed="false">
      <c r="A9" s="3" t="s">
        <v>134</v>
      </c>
      <c r="B9" s="3" t="s">
        <v>24</v>
      </c>
      <c r="C9" s="3" t="s">
        <v>25</v>
      </c>
      <c r="D9" s="3" t="s">
        <v>135</v>
      </c>
      <c r="E9" s="3" t="s">
        <v>47</v>
      </c>
      <c r="F9" s="3" t="s">
        <v>136</v>
      </c>
      <c r="G9" s="3" t="s">
        <v>137</v>
      </c>
      <c r="H9" s="3" t="s">
        <v>138</v>
      </c>
      <c r="I9" s="3" t="s">
        <v>139</v>
      </c>
      <c r="J9" s="3" t="s">
        <v>140</v>
      </c>
      <c r="K9" s="3" t="s">
        <v>141</v>
      </c>
      <c r="L9" s="3" t="s">
        <v>142</v>
      </c>
      <c r="M9" s="3" t="s">
        <v>143</v>
      </c>
      <c r="N9" s="3" t="s">
        <v>86</v>
      </c>
      <c r="O9" s="3" t="s">
        <v>37</v>
      </c>
      <c r="P9" s="3" t="s">
        <v>38</v>
      </c>
      <c r="Q9" s="3" t="s">
        <v>144</v>
      </c>
      <c r="R9" s="3" t="s">
        <v>145</v>
      </c>
      <c r="S9" s="3" t="s">
        <v>41</v>
      </c>
      <c r="T9" s="3" t="s">
        <v>91</v>
      </c>
      <c r="U9" s="3" t="s">
        <v>146</v>
      </c>
      <c r="V9" s="3" t="s">
        <v>44</v>
      </c>
      <c r="W9" s="4"/>
    </row>
    <row r="10" customFormat="false" ht="34.5" hidden="false" customHeight="true" outlineLevel="0" collapsed="false">
      <c r="A10" s="3" t="s">
        <v>147</v>
      </c>
      <c r="B10" s="3" t="s">
        <v>24</v>
      </c>
      <c r="C10" s="3" t="s">
        <v>148</v>
      </c>
      <c r="D10" s="3" t="s">
        <v>149</v>
      </c>
      <c r="E10" s="3" t="s">
        <v>150</v>
      </c>
      <c r="F10" s="3" t="s">
        <v>151</v>
      </c>
      <c r="G10" s="3" t="s">
        <v>152</v>
      </c>
      <c r="H10" s="3" t="s">
        <v>153</v>
      </c>
      <c r="I10" s="3" t="s">
        <v>154</v>
      </c>
      <c r="J10" s="3" t="s">
        <v>32</v>
      </c>
      <c r="K10" s="3" t="s">
        <v>155</v>
      </c>
      <c r="L10" s="3" t="s">
        <v>156</v>
      </c>
      <c r="M10" s="3" t="s">
        <v>157</v>
      </c>
      <c r="N10" s="3" t="s">
        <v>86</v>
      </c>
      <c r="O10" s="3" t="s">
        <v>158</v>
      </c>
      <c r="P10" s="3" t="s">
        <v>56</v>
      </c>
      <c r="Q10" s="3" t="s">
        <v>159</v>
      </c>
      <c r="R10" s="3" t="s">
        <v>160</v>
      </c>
      <c r="S10" s="3" t="s">
        <v>161</v>
      </c>
      <c r="T10" s="3" t="s">
        <v>91</v>
      </c>
      <c r="U10" s="3" t="s">
        <v>162</v>
      </c>
      <c r="V10" s="3" t="s">
        <v>44</v>
      </c>
      <c r="W10" s="4"/>
    </row>
    <row r="11" customFormat="false" ht="68.25" hidden="false" customHeight="true" outlineLevel="0" collapsed="false">
      <c r="A11" s="3" t="s">
        <v>163</v>
      </c>
      <c r="B11" s="3" t="s">
        <v>24</v>
      </c>
      <c r="C11" s="3" t="s">
        <v>25</v>
      </c>
      <c r="D11" s="3" t="s">
        <v>164</v>
      </c>
      <c r="E11" s="3" t="s">
        <v>165</v>
      </c>
      <c r="F11" s="3" t="s">
        <v>166</v>
      </c>
      <c r="G11" s="3" t="s">
        <v>167</v>
      </c>
      <c r="H11" s="3" t="s">
        <v>98</v>
      </c>
      <c r="I11" s="3" t="s">
        <v>168</v>
      </c>
      <c r="J11" s="3" t="s">
        <v>32</v>
      </c>
      <c r="K11" s="3" t="s">
        <v>169</v>
      </c>
      <c r="L11" s="3" t="s">
        <v>170</v>
      </c>
      <c r="M11" s="3" t="s">
        <v>171</v>
      </c>
      <c r="N11" s="3" t="s">
        <v>55</v>
      </c>
      <c r="O11" s="3" t="s">
        <v>158</v>
      </c>
      <c r="P11" s="3" t="s">
        <v>56</v>
      </c>
      <c r="Q11" s="3" t="s">
        <v>172</v>
      </c>
      <c r="R11" s="3" t="s">
        <v>173</v>
      </c>
      <c r="S11" s="3" t="s">
        <v>161</v>
      </c>
      <c r="T11" s="3" t="s">
        <v>105</v>
      </c>
      <c r="U11" s="3" t="s">
        <v>43</v>
      </c>
      <c r="V11" s="3" t="s">
        <v>44</v>
      </c>
      <c r="W11" s="4"/>
    </row>
    <row r="12" customFormat="false" ht="34.5" hidden="false" customHeight="true" outlineLevel="0" collapsed="false">
      <c r="A12" s="3" t="s">
        <v>174</v>
      </c>
      <c r="B12" s="3" t="s">
        <v>24</v>
      </c>
      <c r="C12" s="3" t="s">
        <v>25</v>
      </c>
      <c r="D12" s="3" t="s">
        <v>175</v>
      </c>
      <c r="E12" s="3" t="s">
        <v>165</v>
      </c>
      <c r="F12" s="3" t="s">
        <v>176</v>
      </c>
      <c r="G12" s="3" t="s">
        <v>177</v>
      </c>
      <c r="H12" s="3" t="s">
        <v>178</v>
      </c>
      <c r="I12" s="3" t="s">
        <v>179</v>
      </c>
      <c r="J12" s="3" t="s">
        <v>180</v>
      </c>
      <c r="K12" s="3" t="s">
        <v>181</v>
      </c>
      <c r="L12" s="3" t="s">
        <v>84</v>
      </c>
      <c r="M12" s="3" t="s">
        <v>182</v>
      </c>
      <c r="N12" s="3" t="s">
        <v>55</v>
      </c>
      <c r="O12" s="3" t="s">
        <v>158</v>
      </c>
      <c r="P12" s="3" t="s">
        <v>38</v>
      </c>
      <c r="Q12" s="3" t="s">
        <v>183</v>
      </c>
      <c r="R12" s="3" t="s">
        <v>184</v>
      </c>
      <c r="S12" s="3" t="s">
        <v>161</v>
      </c>
      <c r="T12" s="3" t="s">
        <v>105</v>
      </c>
      <c r="U12" s="3" t="s">
        <v>43</v>
      </c>
      <c r="V12" s="3" t="s">
        <v>44</v>
      </c>
      <c r="W12" s="4"/>
    </row>
    <row r="13" customFormat="false" ht="34.5" hidden="false" customHeight="true" outlineLevel="0" collapsed="false">
      <c r="A13" s="3" t="s">
        <v>185</v>
      </c>
      <c r="B13" s="3" t="s">
        <v>24</v>
      </c>
      <c r="C13" s="3" t="s">
        <v>25</v>
      </c>
      <c r="D13" s="3" t="s">
        <v>186</v>
      </c>
      <c r="E13" s="3" t="s">
        <v>95</v>
      </c>
      <c r="F13" s="3" t="s">
        <v>187</v>
      </c>
      <c r="G13" s="3" t="s">
        <v>188</v>
      </c>
      <c r="H13" s="3" t="s">
        <v>189</v>
      </c>
      <c r="I13" s="3" t="s">
        <v>190</v>
      </c>
      <c r="J13" s="3" t="s">
        <v>191</v>
      </c>
      <c r="K13" s="3" t="s">
        <v>192</v>
      </c>
      <c r="L13" s="3" t="s">
        <v>84</v>
      </c>
      <c r="M13" s="3" t="s">
        <v>193</v>
      </c>
      <c r="N13" s="3" t="s">
        <v>55</v>
      </c>
      <c r="O13" s="3" t="s">
        <v>87</v>
      </c>
      <c r="P13" s="3" t="s">
        <v>56</v>
      </c>
      <c r="Q13" s="3" t="s">
        <v>194</v>
      </c>
      <c r="R13" s="3" t="s">
        <v>195</v>
      </c>
      <c r="S13" s="3" t="s">
        <v>161</v>
      </c>
      <c r="T13" s="3" t="s">
        <v>105</v>
      </c>
      <c r="U13" s="3" t="s">
        <v>43</v>
      </c>
      <c r="V13" s="3" t="s">
        <v>44</v>
      </c>
      <c r="W13" s="4"/>
    </row>
    <row r="14" customFormat="false" ht="34.5" hidden="false" customHeight="true" outlineLevel="0" collapsed="false">
      <c r="A14" s="3" t="s">
        <v>196</v>
      </c>
      <c r="B14" s="3" t="s">
        <v>24</v>
      </c>
      <c r="C14" s="3" t="s">
        <v>25</v>
      </c>
      <c r="D14" s="3" t="s">
        <v>197</v>
      </c>
      <c r="E14" s="3" t="s">
        <v>198</v>
      </c>
      <c r="F14" s="3" t="s">
        <v>199</v>
      </c>
      <c r="G14" s="3" t="s">
        <v>200</v>
      </c>
      <c r="H14" s="3" t="s">
        <v>201</v>
      </c>
      <c r="I14" s="3" t="s">
        <v>202</v>
      </c>
      <c r="J14" s="3" t="s">
        <v>203</v>
      </c>
      <c r="K14" s="3" t="s">
        <v>204</v>
      </c>
      <c r="L14" s="3" t="s">
        <v>170</v>
      </c>
      <c r="M14" s="3" t="s">
        <v>205</v>
      </c>
      <c r="N14" s="3" t="s">
        <v>55</v>
      </c>
      <c r="O14" s="3" t="s">
        <v>206</v>
      </c>
      <c r="P14" s="3" t="s">
        <v>207</v>
      </c>
      <c r="Q14" s="3" t="s">
        <v>208</v>
      </c>
      <c r="R14" s="3" t="s">
        <v>209</v>
      </c>
      <c r="S14" s="3" t="s">
        <v>161</v>
      </c>
      <c r="T14" s="3" t="s">
        <v>105</v>
      </c>
      <c r="U14" s="3" t="s">
        <v>43</v>
      </c>
      <c r="V14" s="3" t="s">
        <v>44</v>
      </c>
      <c r="W14" s="4"/>
    </row>
    <row r="15" customFormat="false" ht="34.5" hidden="false" customHeight="true" outlineLevel="0" collapsed="false">
      <c r="A15" s="3" t="s">
        <v>210</v>
      </c>
      <c r="B15" s="3" t="s">
        <v>24</v>
      </c>
      <c r="C15" s="3" t="s">
        <v>25</v>
      </c>
      <c r="D15" s="3" t="s">
        <v>211</v>
      </c>
      <c r="E15" s="3" t="s">
        <v>27</v>
      </c>
      <c r="F15" s="3" t="s">
        <v>212</v>
      </c>
      <c r="G15" s="3" t="s">
        <v>213</v>
      </c>
      <c r="H15" s="3" t="s">
        <v>214</v>
      </c>
      <c r="I15" s="3" t="s">
        <v>215</v>
      </c>
      <c r="J15" s="3" t="s">
        <v>216</v>
      </c>
      <c r="K15" s="3" t="s">
        <v>217</v>
      </c>
      <c r="L15" s="3" t="s">
        <v>218</v>
      </c>
      <c r="M15" s="3" t="s">
        <v>219</v>
      </c>
      <c r="N15" s="3" t="s">
        <v>55</v>
      </c>
      <c r="O15" s="3" t="s">
        <v>158</v>
      </c>
      <c r="P15" s="3" t="s">
        <v>38</v>
      </c>
      <c r="Q15" s="3" t="s">
        <v>220</v>
      </c>
      <c r="R15" s="3" t="s">
        <v>221</v>
      </c>
      <c r="S15" s="3" t="s">
        <v>161</v>
      </c>
      <c r="T15" s="3" t="s">
        <v>105</v>
      </c>
      <c r="U15" s="3" t="s">
        <v>43</v>
      </c>
      <c r="V15" s="3" t="s">
        <v>44</v>
      </c>
      <c r="W15" s="4"/>
    </row>
    <row r="16" customFormat="false" ht="34.5" hidden="false" customHeight="true" outlineLevel="0" collapsed="false">
      <c r="A16" s="3" t="s">
        <v>222</v>
      </c>
      <c r="B16" s="3" t="s">
        <v>24</v>
      </c>
      <c r="C16" s="3" t="s">
        <v>25</v>
      </c>
      <c r="D16" s="3" t="s">
        <v>223</v>
      </c>
      <c r="E16" s="3" t="s">
        <v>224</v>
      </c>
      <c r="F16" s="3" t="s">
        <v>225</v>
      </c>
      <c r="G16" s="3" t="s">
        <v>226</v>
      </c>
      <c r="H16" s="3" t="s">
        <v>227</v>
      </c>
      <c r="I16" s="3" t="s">
        <v>228</v>
      </c>
      <c r="J16" s="3" t="s">
        <v>229</v>
      </c>
      <c r="K16" s="3" t="s">
        <v>230</v>
      </c>
      <c r="L16" s="3" t="s">
        <v>231</v>
      </c>
      <c r="M16" s="3" t="s">
        <v>232</v>
      </c>
      <c r="N16" s="3" t="s">
        <v>55</v>
      </c>
      <c r="O16" s="3" t="s">
        <v>233</v>
      </c>
      <c r="P16" s="3" t="s">
        <v>56</v>
      </c>
      <c r="Q16" s="3" t="s">
        <v>234</v>
      </c>
      <c r="R16" s="3" t="s">
        <v>235</v>
      </c>
      <c r="S16" s="3" t="s">
        <v>236</v>
      </c>
      <c r="T16" s="3" t="s">
        <v>75</v>
      </c>
      <c r="U16" s="3" t="s">
        <v>43</v>
      </c>
      <c r="V16" s="3" t="s">
        <v>44</v>
      </c>
      <c r="W16" s="4"/>
    </row>
    <row r="17" customFormat="false" ht="34.5" hidden="false" customHeight="true" outlineLevel="0" collapsed="false">
      <c r="A17" s="3" t="s">
        <v>237</v>
      </c>
      <c r="B17" s="3" t="s">
        <v>24</v>
      </c>
      <c r="C17" s="3" t="s">
        <v>25</v>
      </c>
      <c r="D17" s="3" t="s">
        <v>238</v>
      </c>
      <c r="E17" s="3" t="s">
        <v>165</v>
      </c>
      <c r="F17" s="3" t="s">
        <v>239</v>
      </c>
      <c r="G17" s="3" t="s">
        <v>240</v>
      </c>
      <c r="H17" s="3" t="s">
        <v>227</v>
      </c>
      <c r="I17" s="3" t="s">
        <v>241</v>
      </c>
      <c r="J17" s="3" t="s">
        <v>242</v>
      </c>
      <c r="K17" s="3" t="s">
        <v>243</v>
      </c>
      <c r="L17" s="3" t="s">
        <v>231</v>
      </c>
      <c r="M17" s="3" t="s">
        <v>244</v>
      </c>
      <c r="N17" s="3" t="s">
        <v>55</v>
      </c>
      <c r="O17" s="3" t="s">
        <v>233</v>
      </c>
      <c r="P17" s="3" t="s">
        <v>56</v>
      </c>
      <c r="Q17" s="3" t="s">
        <v>245</v>
      </c>
      <c r="R17" s="3" t="s">
        <v>246</v>
      </c>
      <c r="S17" s="3" t="s">
        <v>236</v>
      </c>
      <c r="T17" s="3" t="s">
        <v>75</v>
      </c>
      <c r="U17" s="3" t="s">
        <v>43</v>
      </c>
      <c r="V17" s="3" t="s">
        <v>44</v>
      </c>
      <c r="W17" s="4"/>
    </row>
    <row r="18" customFormat="false" ht="34.5" hidden="false" customHeight="true" outlineLevel="0" collapsed="false">
      <c r="A18" s="3" t="s">
        <v>247</v>
      </c>
      <c r="B18" s="3" t="s">
        <v>24</v>
      </c>
      <c r="C18" s="3" t="s">
        <v>248</v>
      </c>
      <c r="D18" s="3" t="s">
        <v>249</v>
      </c>
      <c r="E18" s="3" t="s">
        <v>95</v>
      </c>
      <c r="F18" s="3" t="s">
        <v>250</v>
      </c>
      <c r="G18" s="3" t="s">
        <v>251</v>
      </c>
      <c r="H18" s="3" t="s">
        <v>227</v>
      </c>
      <c r="I18" s="3" t="s">
        <v>252</v>
      </c>
      <c r="J18" s="3" t="s">
        <v>253</v>
      </c>
      <c r="K18" s="3" t="s">
        <v>254</v>
      </c>
      <c r="L18" s="3" t="s">
        <v>255</v>
      </c>
      <c r="M18" s="3" t="s">
        <v>256</v>
      </c>
      <c r="N18" s="3" t="s">
        <v>55</v>
      </c>
      <c r="O18" s="3" t="s">
        <v>233</v>
      </c>
      <c r="P18" s="3" t="s">
        <v>56</v>
      </c>
      <c r="Q18" s="3" t="s">
        <v>257</v>
      </c>
      <c r="R18" s="3" t="s">
        <v>258</v>
      </c>
      <c r="S18" s="3" t="s">
        <v>236</v>
      </c>
      <c r="T18" s="3" t="s">
        <v>75</v>
      </c>
      <c r="U18" s="3" t="s">
        <v>43</v>
      </c>
      <c r="V18" s="3" t="s">
        <v>44</v>
      </c>
      <c r="W18" s="4"/>
    </row>
    <row r="19" customFormat="false" ht="34.5" hidden="false" customHeight="true" outlineLevel="0" collapsed="false">
      <c r="A19" s="3" t="s">
        <v>259</v>
      </c>
      <c r="B19" s="3" t="s">
        <v>24</v>
      </c>
      <c r="C19" s="3" t="s">
        <v>25</v>
      </c>
      <c r="D19" s="3" t="s">
        <v>260</v>
      </c>
      <c r="E19" s="3" t="s">
        <v>261</v>
      </c>
      <c r="F19" s="3" t="s">
        <v>262</v>
      </c>
      <c r="G19" s="3" t="s">
        <v>263</v>
      </c>
      <c r="H19" s="3" t="s">
        <v>264</v>
      </c>
      <c r="I19" s="3" t="s">
        <v>265</v>
      </c>
      <c r="J19" s="3" t="s">
        <v>266</v>
      </c>
      <c r="K19" s="3" t="s">
        <v>267</v>
      </c>
      <c r="L19" s="3" t="s">
        <v>268</v>
      </c>
      <c r="M19" s="3" t="s">
        <v>269</v>
      </c>
      <c r="N19" s="3" t="s">
        <v>55</v>
      </c>
      <c r="O19" s="3" t="s">
        <v>87</v>
      </c>
      <c r="P19" s="3" t="s">
        <v>56</v>
      </c>
      <c r="Q19" s="3" t="s">
        <v>270</v>
      </c>
      <c r="R19" s="3" t="s">
        <v>271</v>
      </c>
      <c r="S19" s="3" t="s">
        <v>272</v>
      </c>
      <c r="T19" s="3" t="s">
        <v>75</v>
      </c>
      <c r="U19" s="3" t="s">
        <v>43</v>
      </c>
      <c r="V19" s="3" t="s">
        <v>44</v>
      </c>
      <c r="W19" s="4"/>
    </row>
    <row r="20" customFormat="false" ht="23.25" hidden="false" customHeight="true" outlineLevel="0" collapsed="false">
      <c r="A20" s="3" t="s">
        <v>273</v>
      </c>
      <c r="B20" s="3" t="s">
        <v>24</v>
      </c>
      <c r="C20" s="3" t="s">
        <v>274</v>
      </c>
      <c r="D20" s="3" t="s">
        <v>275</v>
      </c>
      <c r="E20" s="3" t="s">
        <v>276</v>
      </c>
      <c r="F20" s="3" t="s">
        <v>277</v>
      </c>
      <c r="G20" s="3" t="s">
        <v>278</v>
      </c>
      <c r="H20" s="3" t="s">
        <v>279</v>
      </c>
      <c r="I20" s="3" t="s">
        <v>280</v>
      </c>
      <c r="J20" s="3" t="s">
        <v>281</v>
      </c>
      <c r="K20" s="3" t="s">
        <v>282</v>
      </c>
      <c r="L20" s="3" t="s">
        <v>283</v>
      </c>
      <c r="M20" s="3" t="s">
        <v>284</v>
      </c>
      <c r="N20" s="3" t="s">
        <v>86</v>
      </c>
      <c r="O20" s="3" t="s">
        <v>87</v>
      </c>
      <c r="P20" s="3" t="s">
        <v>56</v>
      </c>
      <c r="Q20" s="3" t="s">
        <v>285</v>
      </c>
      <c r="R20" s="3" t="s">
        <v>286</v>
      </c>
      <c r="S20" s="3" t="s">
        <v>272</v>
      </c>
      <c r="T20" s="3" t="s">
        <v>91</v>
      </c>
      <c r="U20" s="3" t="s">
        <v>287</v>
      </c>
      <c r="V20" s="3" t="s">
        <v>44</v>
      </c>
      <c r="W20" s="4"/>
    </row>
    <row r="21" customFormat="false" ht="45.75" hidden="false" customHeight="true" outlineLevel="0" collapsed="false">
      <c r="A21" s="3" t="s">
        <v>288</v>
      </c>
      <c r="B21" s="3" t="s">
        <v>24</v>
      </c>
      <c r="C21" s="3" t="s">
        <v>25</v>
      </c>
      <c r="D21" s="3" t="s">
        <v>289</v>
      </c>
      <c r="E21" s="3" t="s">
        <v>224</v>
      </c>
      <c r="F21" s="3" t="s">
        <v>290</v>
      </c>
      <c r="G21" s="3" t="s">
        <v>291</v>
      </c>
      <c r="H21" s="3" t="s">
        <v>292</v>
      </c>
      <c r="I21" s="3" t="s">
        <v>293</v>
      </c>
      <c r="J21" s="3" t="s">
        <v>294</v>
      </c>
      <c r="K21" s="3" t="s">
        <v>295</v>
      </c>
      <c r="L21" s="3" t="s">
        <v>34</v>
      </c>
      <c r="M21" s="3" t="s">
        <v>296</v>
      </c>
      <c r="N21" s="3" t="s">
        <v>55</v>
      </c>
      <c r="O21" s="3" t="s">
        <v>233</v>
      </c>
      <c r="P21" s="3" t="s">
        <v>56</v>
      </c>
      <c r="Q21" s="3" t="s">
        <v>297</v>
      </c>
      <c r="R21" s="3" t="s">
        <v>298</v>
      </c>
      <c r="S21" s="3" t="s">
        <v>272</v>
      </c>
      <c r="T21" s="3" t="s">
        <v>75</v>
      </c>
      <c r="U21" s="3" t="s">
        <v>43</v>
      </c>
      <c r="V21" s="3" t="s">
        <v>44</v>
      </c>
      <c r="W21" s="4"/>
    </row>
    <row r="22" customFormat="false" ht="34.5" hidden="false" customHeight="true" outlineLevel="0" collapsed="false">
      <c r="A22" s="3" t="s">
        <v>299</v>
      </c>
      <c r="B22" s="3" t="s">
        <v>24</v>
      </c>
      <c r="C22" s="3" t="s">
        <v>25</v>
      </c>
      <c r="D22" s="3" t="s">
        <v>300</v>
      </c>
      <c r="E22" s="3" t="s">
        <v>47</v>
      </c>
      <c r="F22" s="3" t="s">
        <v>301</v>
      </c>
      <c r="G22" s="3" t="s">
        <v>302</v>
      </c>
      <c r="H22" s="3" t="s">
        <v>303</v>
      </c>
      <c r="I22" s="3" t="s">
        <v>304</v>
      </c>
      <c r="J22" s="3" t="s">
        <v>305</v>
      </c>
      <c r="K22" s="3" t="s">
        <v>306</v>
      </c>
      <c r="L22" s="3" t="s">
        <v>231</v>
      </c>
      <c r="M22" s="3" t="s">
        <v>307</v>
      </c>
      <c r="N22" s="3" t="s">
        <v>55</v>
      </c>
      <c r="O22" s="3" t="s">
        <v>206</v>
      </c>
      <c r="P22" s="3" t="s">
        <v>38</v>
      </c>
      <c r="Q22" s="3" t="s">
        <v>308</v>
      </c>
      <c r="R22" s="3" t="s">
        <v>309</v>
      </c>
      <c r="S22" s="3" t="s">
        <v>236</v>
      </c>
      <c r="T22" s="3" t="s">
        <v>105</v>
      </c>
      <c r="U22" s="3" t="s">
        <v>310</v>
      </c>
      <c r="V22" s="3" t="s">
        <v>311</v>
      </c>
      <c r="W22" s="4"/>
    </row>
    <row r="23" customFormat="false" ht="34.5" hidden="false" customHeight="true" outlineLevel="0" collapsed="false">
      <c r="A23" s="3" t="s">
        <v>312</v>
      </c>
      <c r="B23" s="3" t="s">
        <v>24</v>
      </c>
      <c r="C23" s="3" t="s">
        <v>25</v>
      </c>
      <c r="D23" s="3" t="s">
        <v>313</v>
      </c>
      <c r="E23" s="3" t="s">
        <v>27</v>
      </c>
      <c r="F23" s="3" t="s">
        <v>314</v>
      </c>
      <c r="G23" s="3" t="s">
        <v>315</v>
      </c>
      <c r="H23" s="3" t="s">
        <v>316</v>
      </c>
      <c r="I23" s="3" t="s">
        <v>317</v>
      </c>
      <c r="J23" s="3" t="s">
        <v>318</v>
      </c>
      <c r="K23" s="3" t="s">
        <v>319</v>
      </c>
      <c r="L23" s="3" t="s">
        <v>320</v>
      </c>
      <c r="M23" s="3" t="s">
        <v>321</v>
      </c>
      <c r="N23" s="3" t="s">
        <v>55</v>
      </c>
      <c r="O23" s="3" t="s">
        <v>87</v>
      </c>
      <c r="P23" s="3" t="s">
        <v>38</v>
      </c>
      <c r="Q23" s="3" t="s">
        <v>322</v>
      </c>
      <c r="R23" s="3" t="s">
        <v>323</v>
      </c>
      <c r="S23" s="3" t="s">
        <v>272</v>
      </c>
      <c r="T23" s="3" t="s">
        <v>105</v>
      </c>
      <c r="U23" s="3" t="s">
        <v>324</v>
      </c>
      <c r="V23" s="3" t="s">
        <v>311</v>
      </c>
      <c r="W23" s="4"/>
    </row>
    <row r="24" customFormat="false" ht="45.75" hidden="false" customHeight="true" outlineLevel="0" collapsed="false">
      <c r="A24" s="3" t="s">
        <v>325</v>
      </c>
      <c r="B24" s="3" t="s">
        <v>24</v>
      </c>
      <c r="C24" s="3" t="s">
        <v>25</v>
      </c>
      <c r="D24" s="3" t="s">
        <v>326</v>
      </c>
      <c r="E24" s="3" t="s">
        <v>327</v>
      </c>
      <c r="F24" s="3" t="s">
        <v>328</v>
      </c>
      <c r="G24" s="3" t="s">
        <v>177</v>
      </c>
      <c r="H24" s="3" t="s">
        <v>329</v>
      </c>
      <c r="I24" s="3" t="s">
        <v>330</v>
      </c>
      <c r="J24" s="3" t="s">
        <v>331</v>
      </c>
      <c r="K24" s="3" t="s">
        <v>332</v>
      </c>
      <c r="L24" s="3" t="s">
        <v>34</v>
      </c>
      <c r="M24" s="3" t="s">
        <v>333</v>
      </c>
      <c r="N24" s="3" t="s">
        <v>55</v>
      </c>
      <c r="O24" s="3" t="s">
        <v>206</v>
      </c>
      <c r="P24" s="3" t="s">
        <v>56</v>
      </c>
      <c r="Q24" s="3" t="s">
        <v>334</v>
      </c>
      <c r="R24" s="3" t="s">
        <v>335</v>
      </c>
      <c r="S24" s="3" t="s">
        <v>272</v>
      </c>
      <c r="T24" s="3" t="s">
        <v>75</v>
      </c>
      <c r="U24" s="3" t="s">
        <v>43</v>
      </c>
      <c r="V24" s="3" t="s">
        <v>44</v>
      </c>
      <c r="W24" s="4"/>
    </row>
    <row r="25" customFormat="false" ht="45.75" hidden="false" customHeight="true" outlineLevel="0" collapsed="false">
      <c r="A25" s="3" t="s">
        <v>336</v>
      </c>
      <c r="B25" s="3" t="s">
        <v>24</v>
      </c>
      <c r="C25" s="3" t="s">
        <v>25</v>
      </c>
      <c r="D25" s="3" t="s">
        <v>337</v>
      </c>
      <c r="E25" s="3" t="s">
        <v>27</v>
      </c>
      <c r="F25" s="3" t="s">
        <v>338</v>
      </c>
      <c r="G25" s="3" t="s">
        <v>339</v>
      </c>
      <c r="H25" s="3" t="s">
        <v>340</v>
      </c>
      <c r="I25" s="3" t="s">
        <v>341</v>
      </c>
      <c r="J25" s="3" t="s">
        <v>342</v>
      </c>
      <c r="K25" s="3" t="s">
        <v>343</v>
      </c>
      <c r="L25" s="3" t="s">
        <v>231</v>
      </c>
      <c r="M25" s="3" t="s">
        <v>344</v>
      </c>
      <c r="N25" s="3" t="s">
        <v>55</v>
      </c>
      <c r="O25" s="3" t="s">
        <v>206</v>
      </c>
      <c r="P25" s="3" t="s">
        <v>38</v>
      </c>
      <c r="Q25" s="3" t="s">
        <v>345</v>
      </c>
      <c r="R25" s="3" t="s">
        <v>346</v>
      </c>
      <c r="S25" s="3" t="s">
        <v>347</v>
      </c>
      <c r="T25" s="3" t="s">
        <v>75</v>
      </c>
      <c r="U25" s="3" t="s">
        <v>43</v>
      </c>
      <c r="V25" s="3" t="s">
        <v>44</v>
      </c>
      <c r="W25" s="4"/>
    </row>
    <row r="26" customFormat="false" ht="45.75" hidden="false" customHeight="true" outlineLevel="0" collapsed="false">
      <c r="A26" s="3" t="s">
        <v>348</v>
      </c>
      <c r="B26" s="3" t="s">
        <v>24</v>
      </c>
      <c r="C26" s="3" t="s">
        <v>25</v>
      </c>
      <c r="D26" s="3" t="s">
        <v>349</v>
      </c>
      <c r="E26" s="3" t="s">
        <v>350</v>
      </c>
      <c r="F26" s="3" t="s">
        <v>351</v>
      </c>
      <c r="G26" s="3" t="s">
        <v>352</v>
      </c>
      <c r="H26" s="3" t="s">
        <v>353</v>
      </c>
      <c r="I26" s="3" t="s">
        <v>354</v>
      </c>
      <c r="J26" s="3" t="s">
        <v>355</v>
      </c>
      <c r="K26" s="3" t="s">
        <v>356</v>
      </c>
      <c r="L26" s="3" t="s">
        <v>357</v>
      </c>
      <c r="M26" s="3" t="s">
        <v>358</v>
      </c>
      <c r="N26" s="3" t="s">
        <v>55</v>
      </c>
      <c r="O26" s="3" t="s">
        <v>206</v>
      </c>
      <c r="P26" s="3" t="s">
        <v>38</v>
      </c>
      <c r="Q26" s="3" t="s">
        <v>359</v>
      </c>
      <c r="R26" s="3" t="s">
        <v>360</v>
      </c>
      <c r="S26" s="3" t="s">
        <v>347</v>
      </c>
      <c r="T26" s="3" t="s">
        <v>361</v>
      </c>
      <c r="U26" s="3" t="s">
        <v>362</v>
      </c>
      <c r="V26" s="3" t="s">
        <v>311</v>
      </c>
      <c r="W26" s="4"/>
    </row>
    <row r="27" customFormat="false" ht="34.5" hidden="false" customHeight="true" outlineLevel="0" collapsed="false">
      <c r="A27" s="3" t="s">
        <v>363</v>
      </c>
      <c r="B27" s="3" t="s">
        <v>24</v>
      </c>
      <c r="C27" s="3" t="s">
        <v>25</v>
      </c>
      <c r="D27" s="3" t="s">
        <v>364</v>
      </c>
      <c r="E27" s="3" t="s">
        <v>261</v>
      </c>
      <c r="F27" s="3" t="s">
        <v>365</v>
      </c>
      <c r="G27" s="3" t="s">
        <v>366</v>
      </c>
      <c r="H27" s="3" t="s">
        <v>367</v>
      </c>
      <c r="I27" s="3" t="s">
        <v>368</v>
      </c>
      <c r="J27" s="3" t="s">
        <v>369</v>
      </c>
      <c r="K27" s="3" t="s">
        <v>370</v>
      </c>
      <c r="L27" s="3" t="s">
        <v>34</v>
      </c>
      <c r="M27" s="3" t="s">
        <v>371</v>
      </c>
      <c r="N27" s="3" t="s">
        <v>55</v>
      </c>
      <c r="O27" s="3" t="s">
        <v>206</v>
      </c>
      <c r="P27" s="3" t="s">
        <v>38</v>
      </c>
      <c r="Q27" s="3" t="s">
        <v>372</v>
      </c>
      <c r="R27" s="3" t="s">
        <v>373</v>
      </c>
      <c r="S27" s="3" t="s">
        <v>347</v>
      </c>
      <c r="T27" s="3" t="s">
        <v>105</v>
      </c>
      <c r="U27" s="3" t="s">
        <v>374</v>
      </c>
      <c r="V27" s="3" t="s">
        <v>44</v>
      </c>
      <c r="W27" s="4"/>
    </row>
    <row r="28" customFormat="false" ht="34.5" hidden="false" customHeight="true" outlineLevel="0" collapsed="false">
      <c r="A28" s="3" t="s">
        <v>375</v>
      </c>
      <c r="B28" s="3" t="s">
        <v>24</v>
      </c>
      <c r="C28" s="3" t="s">
        <v>25</v>
      </c>
      <c r="D28" s="3" t="s">
        <v>376</v>
      </c>
      <c r="E28" s="3" t="s">
        <v>150</v>
      </c>
      <c r="F28" s="3" t="s">
        <v>377</v>
      </c>
      <c r="G28" s="3" t="s">
        <v>378</v>
      </c>
      <c r="H28" s="3" t="s">
        <v>379</v>
      </c>
      <c r="I28" s="3" t="s">
        <v>380</v>
      </c>
      <c r="J28" s="3" t="s">
        <v>32</v>
      </c>
      <c r="K28" s="3" t="s">
        <v>381</v>
      </c>
      <c r="L28" s="3" t="s">
        <v>357</v>
      </c>
      <c r="M28" s="3" t="s">
        <v>382</v>
      </c>
      <c r="N28" s="3" t="s">
        <v>55</v>
      </c>
      <c r="O28" s="3" t="s">
        <v>206</v>
      </c>
      <c r="P28" s="3" t="s">
        <v>56</v>
      </c>
      <c r="Q28" s="3" t="s">
        <v>383</v>
      </c>
      <c r="R28" s="3" t="s">
        <v>384</v>
      </c>
      <c r="S28" s="3" t="s">
        <v>347</v>
      </c>
      <c r="T28" s="3" t="s">
        <v>105</v>
      </c>
      <c r="U28" s="3" t="s">
        <v>43</v>
      </c>
      <c r="V28" s="3" t="s">
        <v>44</v>
      </c>
      <c r="W28" s="4"/>
    </row>
    <row r="29" customFormat="false" ht="57" hidden="false" customHeight="true" outlineLevel="0" collapsed="false">
      <c r="A29" s="3" t="s">
        <v>385</v>
      </c>
      <c r="B29" s="3" t="s">
        <v>24</v>
      </c>
      <c r="C29" s="3" t="s">
        <v>25</v>
      </c>
      <c r="D29" s="3" t="s">
        <v>386</v>
      </c>
      <c r="E29" s="3" t="s">
        <v>387</v>
      </c>
      <c r="F29" s="3" t="s">
        <v>388</v>
      </c>
      <c r="G29" s="3" t="s">
        <v>177</v>
      </c>
      <c r="H29" s="3" t="s">
        <v>138</v>
      </c>
      <c r="I29" s="3" t="s">
        <v>389</v>
      </c>
      <c r="J29" s="3" t="s">
        <v>390</v>
      </c>
      <c r="K29" s="3" t="s">
        <v>391</v>
      </c>
      <c r="L29" s="3" t="s">
        <v>392</v>
      </c>
      <c r="M29" s="3" t="s">
        <v>393</v>
      </c>
      <c r="N29" s="3" t="s">
        <v>55</v>
      </c>
      <c r="O29" s="3" t="s">
        <v>233</v>
      </c>
      <c r="P29" s="3" t="s">
        <v>56</v>
      </c>
      <c r="Q29" s="3" t="s">
        <v>394</v>
      </c>
      <c r="R29" s="3" t="s">
        <v>395</v>
      </c>
      <c r="S29" s="3" t="s">
        <v>347</v>
      </c>
      <c r="T29" s="3" t="s">
        <v>75</v>
      </c>
      <c r="U29" s="3" t="s">
        <v>43</v>
      </c>
      <c r="V29" s="3" t="s">
        <v>44</v>
      </c>
      <c r="W29" s="4"/>
    </row>
    <row r="30" customFormat="false" ht="34.5" hidden="false" customHeight="true" outlineLevel="0" collapsed="false">
      <c r="A30" s="3" t="s">
        <v>396</v>
      </c>
      <c r="B30" s="3" t="s">
        <v>24</v>
      </c>
      <c r="C30" s="3" t="s">
        <v>25</v>
      </c>
      <c r="D30" s="3" t="s">
        <v>397</v>
      </c>
      <c r="E30" s="3" t="s">
        <v>47</v>
      </c>
      <c r="F30" s="3" t="s">
        <v>398</v>
      </c>
      <c r="G30" s="3" t="s">
        <v>399</v>
      </c>
      <c r="H30" s="3" t="s">
        <v>400</v>
      </c>
      <c r="I30" s="3" t="s">
        <v>401</v>
      </c>
      <c r="J30" s="3" t="s">
        <v>402</v>
      </c>
      <c r="K30" s="3" t="s">
        <v>403</v>
      </c>
      <c r="L30" s="3" t="s">
        <v>231</v>
      </c>
      <c r="M30" s="3" t="s">
        <v>404</v>
      </c>
      <c r="N30" s="3" t="s">
        <v>55</v>
      </c>
      <c r="O30" s="3" t="s">
        <v>233</v>
      </c>
      <c r="P30" s="3" t="s">
        <v>56</v>
      </c>
      <c r="Q30" s="3" t="s">
        <v>405</v>
      </c>
      <c r="R30" s="3" t="s">
        <v>406</v>
      </c>
      <c r="S30" s="3" t="s">
        <v>347</v>
      </c>
      <c r="T30" s="3" t="s">
        <v>75</v>
      </c>
      <c r="U30" s="3" t="s">
        <v>43</v>
      </c>
      <c r="V30" s="3" t="s">
        <v>44</v>
      </c>
      <c r="W30" s="4"/>
    </row>
    <row r="31" customFormat="false" ht="34.5" hidden="false" customHeight="true" outlineLevel="0" collapsed="false">
      <c r="A31" s="3" t="s">
        <v>407</v>
      </c>
      <c r="B31" s="3" t="s">
        <v>24</v>
      </c>
      <c r="C31" s="3" t="s">
        <v>25</v>
      </c>
      <c r="D31" s="3" t="s">
        <v>408</v>
      </c>
      <c r="E31" s="3" t="s">
        <v>27</v>
      </c>
      <c r="F31" s="3" t="s">
        <v>409</v>
      </c>
      <c r="G31" s="3" t="s">
        <v>410</v>
      </c>
      <c r="H31" s="3" t="s">
        <v>411</v>
      </c>
      <c r="I31" s="3" t="s">
        <v>412</v>
      </c>
      <c r="J31" s="3" t="s">
        <v>413</v>
      </c>
      <c r="K31" s="3" t="s">
        <v>414</v>
      </c>
      <c r="L31" s="3" t="s">
        <v>231</v>
      </c>
      <c r="M31" s="3" t="s">
        <v>415</v>
      </c>
      <c r="N31" s="3" t="s">
        <v>55</v>
      </c>
      <c r="O31" s="3" t="s">
        <v>206</v>
      </c>
      <c r="P31" s="3" t="s">
        <v>38</v>
      </c>
      <c r="Q31" s="3" t="s">
        <v>416</v>
      </c>
      <c r="R31" s="3" t="s">
        <v>417</v>
      </c>
      <c r="S31" s="3" t="s">
        <v>347</v>
      </c>
      <c r="T31" s="3" t="s">
        <v>105</v>
      </c>
      <c r="U31" s="3" t="s">
        <v>43</v>
      </c>
      <c r="V31" s="3" t="s">
        <v>44</v>
      </c>
      <c r="W31" s="4"/>
    </row>
    <row r="32" customFormat="false" ht="34.5" hidden="false" customHeight="true" outlineLevel="0" collapsed="false">
      <c r="A32" s="3" t="s">
        <v>418</v>
      </c>
      <c r="B32" s="3" t="s">
        <v>24</v>
      </c>
      <c r="C32" s="3" t="s">
        <v>25</v>
      </c>
      <c r="D32" s="3" t="s">
        <v>419</v>
      </c>
      <c r="E32" s="3" t="s">
        <v>420</v>
      </c>
      <c r="F32" s="3" t="s">
        <v>421</v>
      </c>
      <c r="G32" s="3" t="s">
        <v>177</v>
      </c>
      <c r="H32" s="3" t="s">
        <v>379</v>
      </c>
      <c r="I32" s="3" t="s">
        <v>422</v>
      </c>
      <c r="J32" s="3" t="s">
        <v>423</v>
      </c>
      <c r="K32" s="3" t="s">
        <v>424</v>
      </c>
      <c r="L32" s="3" t="s">
        <v>357</v>
      </c>
      <c r="M32" s="3" t="s">
        <v>425</v>
      </c>
      <c r="N32" s="3" t="s">
        <v>55</v>
      </c>
      <c r="O32" s="3" t="s">
        <v>206</v>
      </c>
      <c r="P32" s="3" t="s">
        <v>56</v>
      </c>
      <c r="Q32" s="3" t="s">
        <v>426</v>
      </c>
      <c r="R32" s="3" t="s">
        <v>427</v>
      </c>
      <c r="S32" s="3" t="s">
        <v>347</v>
      </c>
      <c r="T32" s="3" t="s">
        <v>361</v>
      </c>
      <c r="U32" s="3" t="s">
        <v>428</v>
      </c>
      <c r="V32" s="3" t="s">
        <v>311</v>
      </c>
      <c r="W32" s="4"/>
    </row>
    <row r="33" customFormat="false" ht="45.75" hidden="false" customHeight="true" outlineLevel="0" collapsed="false">
      <c r="A33" s="3" t="s">
        <v>429</v>
      </c>
      <c r="B33" s="3" t="s">
        <v>24</v>
      </c>
      <c r="C33" s="3" t="s">
        <v>25</v>
      </c>
      <c r="D33" s="3" t="s">
        <v>430</v>
      </c>
      <c r="E33" s="3" t="s">
        <v>27</v>
      </c>
      <c r="F33" s="3" t="s">
        <v>431</v>
      </c>
      <c r="G33" s="3" t="s">
        <v>432</v>
      </c>
      <c r="H33" s="3" t="s">
        <v>433</v>
      </c>
      <c r="I33" s="3" t="s">
        <v>401</v>
      </c>
      <c r="J33" s="3" t="s">
        <v>434</v>
      </c>
      <c r="K33" s="3" t="s">
        <v>435</v>
      </c>
      <c r="L33" s="3" t="s">
        <v>436</v>
      </c>
      <c r="M33" s="3" t="s">
        <v>437</v>
      </c>
      <c r="N33" s="3" t="s">
        <v>55</v>
      </c>
      <c r="O33" s="3" t="s">
        <v>233</v>
      </c>
      <c r="P33" s="3" t="s">
        <v>207</v>
      </c>
      <c r="Q33" s="3" t="s">
        <v>438</v>
      </c>
      <c r="R33" s="3" t="s">
        <v>439</v>
      </c>
      <c r="S33" s="3" t="s">
        <v>347</v>
      </c>
      <c r="T33" s="3" t="s">
        <v>75</v>
      </c>
      <c r="U33" s="3" t="s">
        <v>43</v>
      </c>
      <c r="V33" s="3" t="s">
        <v>44</v>
      </c>
      <c r="W33" s="4"/>
    </row>
    <row r="34" customFormat="false" ht="34.5" hidden="false" customHeight="true" outlineLevel="0" collapsed="false">
      <c r="A34" s="3" t="s">
        <v>440</v>
      </c>
      <c r="B34" s="3" t="s">
        <v>441</v>
      </c>
      <c r="C34" s="3" t="s">
        <v>442</v>
      </c>
      <c r="D34" s="3" t="s">
        <v>443</v>
      </c>
      <c r="E34" s="3" t="s">
        <v>261</v>
      </c>
      <c r="F34" s="3" t="s">
        <v>444</v>
      </c>
      <c r="G34" s="3" t="s">
        <v>445</v>
      </c>
      <c r="H34" s="3" t="s">
        <v>446</v>
      </c>
      <c r="I34" s="3" t="s">
        <v>447</v>
      </c>
      <c r="J34" s="3" t="s">
        <v>448</v>
      </c>
      <c r="K34" s="3" t="s">
        <v>449</v>
      </c>
      <c r="L34" s="3" t="s">
        <v>450</v>
      </c>
      <c r="M34" s="3" t="s">
        <v>451</v>
      </c>
      <c r="N34" s="3" t="s">
        <v>55</v>
      </c>
      <c r="O34" s="3" t="s">
        <v>233</v>
      </c>
      <c r="P34" s="3" t="s">
        <v>38</v>
      </c>
      <c r="Q34" s="3" t="s">
        <v>452</v>
      </c>
      <c r="R34" s="3" t="s">
        <v>453</v>
      </c>
      <c r="S34" s="3" t="s">
        <v>454</v>
      </c>
      <c r="T34" s="3" t="s">
        <v>75</v>
      </c>
      <c r="U34" s="3" t="s">
        <v>43</v>
      </c>
      <c r="V34" s="3" t="s">
        <v>455</v>
      </c>
      <c r="W34" s="4"/>
    </row>
    <row r="35" customFormat="false" ht="34.5" hidden="false" customHeight="true" outlineLevel="0" collapsed="false">
      <c r="A35" s="3" t="s">
        <v>456</v>
      </c>
      <c r="B35" s="3" t="s">
        <v>441</v>
      </c>
      <c r="C35" s="3" t="s">
        <v>457</v>
      </c>
      <c r="D35" s="3" t="s">
        <v>458</v>
      </c>
      <c r="E35" s="3" t="s">
        <v>198</v>
      </c>
      <c r="F35" s="3" t="s">
        <v>459</v>
      </c>
      <c r="G35" s="3" t="s">
        <v>460</v>
      </c>
      <c r="H35" s="3" t="s">
        <v>461</v>
      </c>
      <c r="I35" s="3" t="s">
        <v>462</v>
      </c>
      <c r="J35" s="3" t="s">
        <v>67</v>
      </c>
      <c r="K35" s="3" t="s">
        <v>463</v>
      </c>
      <c r="L35" s="3" t="s">
        <v>464</v>
      </c>
      <c r="M35" s="3" t="s">
        <v>465</v>
      </c>
      <c r="N35" s="3" t="s">
        <v>86</v>
      </c>
      <c r="O35" s="3" t="s">
        <v>158</v>
      </c>
      <c r="P35" s="3" t="s">
        <v>56</v>
      </c>
      <c r="Q35" s="3" t="s">
        <v>466</v>
      </c>
      <c r="R35" s="3" t="s">
        <v>467</v>
      </c>
      <c r="S35" s="3" t="s">
        <v>454</v>
      </c>
      <c r="T35" s="3" t="s">
        <v>91</v>
      </c>
      <c r="U35" s="3" t="s">
        <v>43</v>
      </c>
      <c r="V35" s="3" t="s">
        <v>455</v>
      </c>
      <c r="W35" s="4"/>
    </row>
    <row r="36" customFormat="false" ht="23.25" hidden="false" customHeight="true" outlineLevel="0" collapsed="false">
      <c r="A36" s="3" t="s">
        <v>468</v>
      </c>
      <c r="B36" s="3" t="s">
        <v>441</v>
      </c>
      <c r="C36" s="3" t="s">
        <v>457</v>
      </c>
      <c r="D36" s="3" t="s">
        <v>458</v>
      </c>
      <c r="E36" s="3" t="s">
        <v>150</v>
      </c>
      <c r="F36" s="3" t="s">
        <v>469</v>
      </c>
      <c r="G36" s="3" t="s">
        <v>460</v>
      </c>
      <c r="H36" s="3" t="s">
        <v>470</v>
      </c>
      <c r="I36" s="3" t="s">
        <v>462</v>
      </c>
      <c r="J36" s="3" t="s">
        <v>67</v>
      </c>
      <c r="K36" s="3" t="s">
        <v>463</v>
      </c>
      <c r="L36" s="3" t="s">
        <v>464</v>
      </c>
      <c r="M36" s="3" t="s">
        <v>471</v>
      </c>
      <c r="N36" s="3" t="s">
        <v>86</v>
      </c>
      <c r="O36" s="3" t="s">
        <v>158</v>
      </c>
      <c r="P36" s="3" t="s">
        <v>207</v>
      </c>
      <c r="Q36" s="3" t="s">
        <v>472</v>
      </c>
      <c r="R36" s="3" t="s">
        <v>473</v>
      </c>
      <c r="S36" s="3" t="s">
        <v>454</v>
      </c>
      <c r="T36" s="3" t="s">
        <v>91</v>
      </c>
      <c r="U36" s="3" t="s">
        <v>43</v>
      </c>
      <c r="V36" s="3" t="s">
        <v>455</v>
      </c>
      <c r="W36" s="4"/>
    </row>
    <row r="37" customFormat="false" ht="45.75" hidden="false" customHeight="true" outlineLevel="0" collapsed="false">
      <c r="A37" s="3" t="s">
        <v>474</v>
      </c>
      <c r="B37" s="3" t="s">
        <v>441</v>
      </c>
      <c r="C37" s="3" t="s">
        <v>475</v>
      </c>
      <c r="D37" s="3" t="s">
        <v>476</v>
      </c>
      <c r="E37" s="3" t="s">
        <v>224</v>
      </c>
      <c r="F37" s="3" t="s">
        <v>477</v>
      </c>
      <c r="G37" s="3" t="s">
        <v>478</v>
      </c>
      <c r="H37" s="3" t="s">
        <v>479</v>
      </c>
      <c r="I37" s="3" t="s">
        <v>480</v>
      </c>
      <c r="J37" s="3" t="s">
        <v>481</v>
      </c>
      <c r="K37" s="3" t="s">
        <v>482</v>
      </c>
      <c r="L37" s="3" t="s">
        <v>483</v>
      </c>
      <c r="M37" s="3" t="s">
        <v>484</v>
      </c>
      <c r="N37" s="3" t="s">
        <v>36</v>
      </c>
      <c r="O37" s="3" t="s">
        <v>87</v>
      </c>
      <c r="P37" s="3" t="s">
        <v>38</v>
      </c>
      <c r="Q37" s="3" t="s">
        <v>485</v>
      </c>
      <c r="R37" s="3" t="s">
        <v>486</v>
      </c>
      <c r="S37" s="3" t="s">
        <v>454</v>
      </c>
      <c r="T37" s="3" t="s">
        <v>42</v>
      </c>
      <c r="U37" s="3" t="s">
        <v>43</v>
      </c>
      <c r="V37" s="3" t="s">
        <v>455</v>
      </c>
      <c r="W37" s="4"/>
    </row>
    <row r="38" customFormat="false" ht="34.5" hidden="false" customHeight="true" outlineLevel="0" collapsed="false">
      <c r="A38" s="3" t="s">
        <v>487</v>
      </c>
      <c r="B38" s="3" t="s">
        <v>441</v>
      </c>
      <c r="C38" s="3" t="s">
        <v>488</v>
      </c>
      <c r="D38" s="3" t="s">
        <v>489</v>
      </c>
      <c r="E38" s="3" t="s">
        <v>27</v>
      </c>
      <c r="F38" s="3" t="s">
        <v>490</v>
      </c>
      <c r="G38" s="3" t="s">
        <v>491</v>
      </c>
      <c r="H38" s="3" t="s">
        <v>461</v>
      </c>
      <c r="I38" s="3" t="s">
        <v>492</v>
      </c>
      <c r="J38" s="3" t="s">
        <v>493</v>
      </c>
      <c r="K38" s="3" t="s">
        <v>494</v>
      </c>
      <c r="L38" s="3" t="s">
        <v>495</v>
      </c>
      <c r="M38" s="3" t="s">
        <v>496</v>
      </c>
      <c r="N38" s="3" t="s">
        <v>55</v>
      </c>
      <c r="O38" s="3" t="s">
        <v>87</v>
      </c>
      <c r="P38" s="3" t="s">
        <v>56</v>
      </c>
      <c r="Q38" s="3" t="s">
        <v>497</v>
      </c>
      <c r="R38" s="3" t="s">
        <v>498</v>
      </c>
      <c r="S38" s="3" t="s">
        <v>454</v>
      </c>
      <c r="T38" s="3" t="s">
        <v>75</v>
      </c>
      <c r="U38" s="3" t="s">
        <v>43</v>
      </c>
      <c r="V38" s="3" t="s">
        <v>455</v>
      </c>
      <c r="W38" s="4"/>
    </row>
    <row r="39" customFormat="false" ht="68.25" hidden="false" customHeight="true" outlineLevel="0" collapsed="false">
      <c r="A39" s="3" t="s">
        <v>499</v>
      </c>
      <c r="B39" s="3" t="s">
        <v>441</v>
      </c>
      <c r="C39" s="3" t="s">
        <v>475</v>
      </c>
      <c r="D39" s="3" t="s">
        <v>500</v>
      </c>
      <c r="E39" s="3" t="s">
        <v>501</v>
      </c>
      <c r="F39" s="3" t="s">
        <v>502</v>
      </c>
      <c r="G39" s="3" t="s">
        <v>503</v>
      </c>
      <c r="H39" s="3" t="s">
        <v>504</v>
      </c>
      <c r="I39" s="3" t="s">
        <v>505</v>
      </c>
      <c r="J39" s="3" t="s">
        <v>506</v>
      </c>
      <c r="K39" s="3" t="s">
        <v>463</v>
      </c>
      <c r="L39" s="3" t="s">
        <v>507</v>
      </c>
      <c r="M39" s="3" t="s">
        <v>508</v>
      </c>
      <c r="N39" s="3" t="s">
        <v>86</v>
      </c>
      <c r="O39" s="3" t="s">
        <v>71</v>
      </c>
      <c r="P39" s="3" t="s">
        <v>56</v>
      </c>
      <c r="Q39" s="3" t="s">
        <v>509</v>
      </c>
      <c r="R39" s="3" t="s">
        <v>510</v>
      </c>
      <c r="S39" s="3" t="s">
        <v>454</v>
      </c>
      <c r="T39" s="3" t="s">
        <v>91</v>
      </c>
      <c r="U39" s="3" t="s">
        <v>43</v>
      </c>
      <c r="V39" s="3" t="s">
        <v>455</v>
      </c>
      <c r="W39" s="4"/>
    </row>
    <row r="40" customFormat="false" ht="34.5" hidden="false" customHeight="true" outlineLevel="0" collapsed="false">
      <c r="A40" s="3" t="s">
        <v>511</v>
      </c>
      <c r="B40" s="3" t="s">
        <v>441</v>
      </c>
      <c r="C40" s="3" t="s">
        <v>475</v>
      </c>
      <c r="D40" s="3" t="s">
        <v>512</v>
      </c>
      <c r="E40" s="3" t="s">
        <v>165</v>
      </c>
      <c r="F40" s="3" t="s">
        <v>513</v>
      </c>
      <c r="G40" s="3" t="s">
        <v>514</v>
      </c>
      <c r="H40" s="3" t="s">
        <v>515</v>
      </c>
      <c r="I40" s="3" t="s">
        <v>516</v>
      </c>
      <c r="J40" s="3" t="s">
        <v>517</v>
      </c>
      <c r="K40" s="3" t="s">
        <v>463</v>
      </c>
      <c r="L40" s="3" t="s">
        <v>518</v>
      </c>
      <c r="M40" s="3" t="s">
        <v>519</v>
      </c>
      <c r="N40" s="3" t="s">
        <v>36</v>
      </c>
      <c r="O40" s="3" t="s">
        <v>158</v>
      </c>
      <c r="P40" s="3" t="s">
        <v>38</v>
      </c>
      <c r="Q40" s="3" t="s">
        <v>520</v>
      </c>
      <c r="R40" s="3" t="s">
        <v>521</v>
      </c>
      <c r="S40" s="3" t="s">
        <v>454</v>
      </c>
      <c r="T40" s="3" t="s">
        <v>105</v>
      </c>
      <c r="U40" s="3" t="s">
        <v>43</v>
      </c>
      <c r="V40" s="3" t="s">
        <v>455</v>
      </c>
      <c r="W40" s="4"/>
    </row>
    <row r="41" customFormat="false" ht="23.25" hidden="false" customHeight="true" outlineLevel="0" collapsed="false">
      <c r="A41" s="3" t="s">
        <v>522</v>
      </c>
      <c r="B41" s="3" t="s">
        <v>441</v>
      </c>
      <c r="C41" s="3" t="s">
        <v>475</v>
      </c>
      <c r="D41" s="3" t="s">
        <v>523</v>
      </c>
      <c r="E41" s="3" t="s">
        <v>261</v>
      </c>
      <c r="F41" s="3" t="s">
        <v>524</v>
      </c>
      <c r="G41" s="3" t="s">
        <v>525</v>
      </c>
      <c r="H41" s="3" t="s">
        <v>470</v>
      </c>
      <c r="I41" s="3" t="s">
        <v>526</v>
      </c>
      <c r="J41" s="3" t="s">
        <v>517</v>
      </c>
      <c r="K41" s="3" t="s">
        <v>527</v>
      </c>
      <c r="L41" s="3" t="s">
        <v>518</v>
      </c>
      <c r="M41" s="3" t="s">
        <v>528</v>
      </c>
      <c r="N41" s="3" t="s">
        <v>86</v>
      </c>
      <c r="O41" s="3" t="s">
        <v>158</v>
      </c>
      <c r="P41" s="3" t="s">
        <v>56</v>
      </c>
      <c r="Q41" s="3" t="s">
        <v>529</v>
      </c>
      <c r="R41" s="3" t="s">
        <v>530</v>
      </c>
      <c r="S41" s="3" t="s">
        <v>454</v>
      </c>
      <c r="T41" s="3" t="s">
        <v>91</v>
      </c>
      <c r="U41" s="3" t="s">
        <v>43</v>
      </c>
      <c r="V41" s="3" t="s">
        <v>455</v>
      </c>
      <c r="W41" s="4"/>
    </row>
    <row r="42" customFormat="false" ht="45.75" hidden="false" customHeight="true" outlineLevel="0" collapsed="false">
      <c r="A42" s="3" t="s">
        <v>531</v>
      </c>
      <c r="B42" s="3" t="s">
        <v>441</v>
      </c>
      <c r="C42" s="3" t="s">
        <v>532</v>
      </c>
      <c r="D42" s="3" t="s">
        <v>533</v>
      </c>
      <c r="E42" s="3" t="s">
        <v>534</v>
      </c>
      <c r="F42" s="3" t="s">
        <v>535</v>
      </c>
      <c r="G42" s="3" t="s">
        <v>536</v>
      </c>
      <c r="H42" s="3" t="s">
        <v>537</v>
      </c>
      <c r="I42" s="3" t="s">
        <v>538</v>
      </c>
      <c r="J42" s="3" t="s">
        <v>539</v>
      </c>
      <c r="K42" s="3" t="s">
        <v>540</v>
      </c>
      <c r="L42" s="3" t="s">
        <v>450</v>
      </c>
      <c r="M42" s="3" t="s">
        <v>541</v>
      </c>
      <c r="N42" s="3" t="s">
        <v>55</v>
      </c>
      <c r="O42" s="3" t="s">
        <v>233</v>
      </c>
      <c r="P42" s="3" t="s">
        <v>56</v>
      </c>
      <c r="Q42" s="3" t="s">
        <v>542</v>
      </c>
      <c r="R42" s="3" t="s">
        <v>543</v>
      </c>
      <c r="S42" s="3" t="s">
        <v>454</v>
      </c>
      <c r="T42" s="3" t="s">
        <v>75</v>
      </c>
      <c r="U42" s="3" t="s">
        <v>43</v>
      </c>
      <c r="V42" s="3" t="s">
        <v>455</v>
      </c>
      <c r="W42" s="4"/>
    </row>
    <row r="43" customFormat="false" ht="34.5" hidden="false" customHeight="true" outlineLevel="0" collapsed="false">
      <c r="A43" s="3" t="s">
        <v>544</v>
      </c>
      <c r="B43" s="3" t="s">
        <v>441</v>
      </c>
      <c r="C43" s="3" t="s">
        <v>545</v>
      </c>
      <c r="D43" s="3" t="s">
        <v>546</v>
      </c>
      <c r="E43" s="3" t="s">
        <v>95</v>
      </c>
      <c r="F43" s="3" t="s">
        <v>547</v>
      </c>
      <c r="G43" s="3" t="s">
        <v>546</v>
      </c>
      <c r="H43" s="3" t="s">
        <v>446</v>
      </c>
      <c r="I43" s="3" t="s">
        <v>548</v>
      </c>
      <c r="J43" s="3" t="s">
        <v>67</v>
      </c>
      <c r="K43" s="3" t="s">
        <v>463</v>
      </c>
      <c r="L43" s="3" t="s">
        <v>450</v>
      </c>
      <c r="M43" s="3" t="s">
        <v>549</v>
      </c>
      <c r="N43" s="3" t="s">
        <v>86</v>
      </c>
      <c r="O43" s="3" t="s">
        <v>87</v>
      </c>
      <c r="P43" s="3" t="s">
        <v>207</v>
      </c>
      <c r="Q43" s="3" t="s">
        <v>550</v>
      </c>
      <c r="R43" s="3" t="s">
        <v>551</v>
      </c>
      <c r="S43" s="3" t="s">
        <v>454</v>
      </c>
      <c r="T43" s="3" t="s">
        <v>91</v>
      </c>
      <c r="U43" s="3" t="s">
        <v>43</v>
      </c>
      <c r="V43" s="3" t="s">
        <v>455</v>
      </c>
      <c r="W43" s="4"/>
    </row>
  </sheetData>
  <autoFilter ref="A1:W43"/>
  <dataValidations count="1">
    <dataValidation allowBlank="true" errorStyle="stop" operator="between" showDropDown="false" showErrorMessage="false" showInputMessage="false" sqref="W2:W43"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0"/>
    <col collapsed="false" customWidth="true" hidden="false" outlineLevel="0" max="4" min="2" style="1" width="22"/>
  </cols>
  <sheetData>
    <row r="1" customFormat="false" ht="15" hidden="false" customHeight="true" outlineLevel="0" collapsed="false">
      <c r="A1" s="5" t="s">
        <v>552</v>
      </c>
      <c r="B1" s="5" t="s">
        <v>553</v>
      </c>
      <c r="C1" s="5" t="s">
        <v>554</v>
      </c>
      <c r="D1" s="5" t="s">
        <v>555</v>
      </c>
    </row>
    <row r="2" customFormat="false" ht="15" hidden="false" customHeight="true" outlineLevel="0" collapsed="false">
      <c r="A2" s="6" t="s">
        <v>556</v>
      </c>
      <c r="B2" s="7"/>
      <c r="C2" s="7"/>
      <c r="D2" s="7"/>
    </row>
    <row r="3" customFormat="false" ht="15" hidden="false" customHeight="true" outlineLevel="0" collapsed="false">
      <c r="A3" s="8" t="s">
        <v>557</v>
      </c>
      <c r="B3" s="8" t="n">
        <f aca="false">SUM(Búsquedas!E2:E5)</f>
        <v>66</v>
      </c>
      <c r="C3" s="8" t="n">
        <f aca="false">COUNTIF(Cribado!$B$2:$B$70,"Búsqueda web")</f>
        <v>15</v>
      </c>
      <c r="D3" s="8" t="n">
        <f aca="false">B3+C3</f>
        <v>81</v>
      </c>
    </row>
    <row r="4" customFormat="false" ht="15" hidden="false" customHeight="true" outlineLevel="0" collapsed="false">
      <c r="A4" s="8" t="s">
        <v>558</v>
      </c>
      <c r="B4" s="8" t="n">
        <f aca="false">B3-COUNTIF(Cribado!$B$2:$B$70,"Consensus")</f>
        <v>12</v>
      </c>
      <c r="C4" s="8" t="n">
        <f aca="false">COUNTIFS(Cribado!$B$2:$B$70,"Búsqueda web",Cribado!$I$2:$I$70,"Duplica*")</f>
        <v>1</v>
      </c>
      <c r="D4" s="8" t="n">
        <f aca="false">B4+C4</f>
        <v>13</v>
      </c>
    </row>
    <row r="5" customFormat="false" ht="15" hidden="false" customHeight="true" outlineLevel="0" collapsed="false">
      <c r="A5" s="6" t="s">
        <v>559</v>
      </c>
      <c r="B5" s="7"/>
      <c r="C5" s="7"/>
      <c r="D5" s="7"/>
    </row>
    <row r="6" customFormat="false" ht="15" hidden="false" customHeight="true" outlineLevel="0" collapsed="false">
      <c r="A6" s="8" t="s">
        <v>560</v>
      </c>
      <c r="B6" s="8" t="n">
        <f aca="false">B3-B4</f>
        <v>54</v>
      </c>
      <c r="C6" s="8" t="n">
        <f aca="false">C3-C4</f>
        <v>14</v>
      </c>
      <c r="D6" s="8" t="n">
        <f aca="false">B6+C6</f>
        <v>68</v>
      </c>
    </row>
    <row r="7" customFormat="false" ht="15" hidden="false" customHeight="true" outlineLevel="0" collapsed="false">
      <c r="A7" s="8" t="s">
        <v>561</v>
      </c>
      <c r="B7" s="8" t="n">
        <f aca="false">COUNTIFS(Cribado!$B$2:$B$70,"Consensus",Cribado!$H$2:$H$70,"Excluido")</f>
        <v>22</v>
      </c>
      <c r="C7" s="8" t="n">
        <f aca="false">COUNTIFS(Cribado!$B$2:$B$70,"Búsqueda web",Cribado!$H$2:$H$70,"Excluido")-C4</f>
        <v>4</v>
      </c>
      <c r="D7" s="8" t="n">
        <f aca="false">B7+C7</f>
        <v>26</v>
      </c>
    </row>
    <row r="8" customFormat="false" ht="15" hidden="false" customHeight="true" outlineLevel="0" collapsed="false">
      <c r="A8" s="6" t="s">
        <v>562</v>
      </c>
      <c r="B8" s="7"/>
      <c r="C8" s="7"/>
      <c r="D8" s="7"/>
    </row>
    <row r="9" customFormat="false" ht="15" hidden="false" customHeight="true" outlineLevel="0" collapsed="false">
      <c r="A9" s="8" t="s">
        <v>563</v>
      </c>
      <c r="B9" s="8" t="n">
        <f aca="false">COUNTIFS(Cribado!$B$2:$B$70,"Consensus",Cribado!$H$2:$H$70,"Incluido")</f>
        <v>32</v>
      </c>
      <c r="C9" s="8" t="n">
        <f aca="false">COUNTIFS(Cribado!$B$2:$B$70,"Búsqueda web",Cribado!$H$2:$H$70,"Incluido")</f>
        <v>10</v>
      </c>
      <c r="D9" s="8" t="n">
        <f aca="false">B9+C9</f>
        <v>42</v>
      </c>
    </row>
    <row r="10" customFormat="false" ht="15" hidden="false" customHeight="true" outlineLevel="0" collapsed="false">
      <c r="A10" s="8" t="s">
        <v>564</v>
      </c>
      <c r="B10" s="8" t="n">
        <f aca="false">B6-B7-B9</f>
        <v>0</v>
      </c>
      <c r="C10" s="8" t="n">
        <f aca="false">C6-C7-C9</f>
        <v>0</v>
      </c>
      <c r="D10" s="8" t="n">
        <f aca="false">D6-D7-D9</f>
        <v>0</v>
      </c>
    </row>
    <row r="11" customFormat="false" ht="15" hidden="false" customHeight="true" outlineLevel="0" collapsed="false">
      <c r="A11" s="8"/>
      <c r="B11" s="8"/>
      <c r="C11" s="8"/>
      <c r="D11" s="8"/>
    </row>
    <row r="12" customFormat="false" ht="15" hidden="false" customHeight="true" outlineLevel="0" collapsed="false">
      <c r="A12" s="9" t="s">
        <v>565</v>
      </c>
      <c r="B12" s="9" t="s">
        <v>566</v>
      </c>
      <c r="C12" s="8"/>
      <c r="D12" s="8"/>
    </row>
    <row r="13" customFormat="false" ht="15" hidden="false" customHeight="true" outlineLevel="0" collapsed="false">
      <c r="A13" s="8" t="s">
        <v>567</v>
      </c>
      <c r="B13" s="8" t="n">
        <f aca="false">COUNTIF(Cribado!$I$2:$I$70,A13)</f>
        <v>2</v>
      </c>
      <c r="C13" s="8"/>
      <c r="D13" s="8"/>
    </row>
    <row r="14" customFormat="false" ht="15" hidden="false" customHeight="true" outlineLevel="0" collapsed="false">
      <c r="A14" s="8" t="s">
        <v>568</v>
      </c>
      <c r="B14" s="8" t="n">
        <f aca="false">COUNTIF(Cribado!$I$2:$I$70,A14)</f>
        <v>3</v>
      </c>
      <c r="C14" s="8"/>
      <c r="D14" s="8"/>
    </row>
    <row r="15" customFormat="false" ht="15" hidden="false" customHeight="true" outlineLevel="0" collapsed="false">
      <c r="A15" s="8" t="s">
        <v>569</v>
      </c>
      <c r="B15" s="8" t="n">
        <f aca="false">COUNTIF(Cribado!$I$2:$I$70,A15)</f>
        <v>2</v>
      </c>
      <c r="C15" s="8"/>
      <c r="D15" s="8"/>
    </row>
    <row r="16" customFormat="false" ht="15" hidden="false" customHeight="true" outlineLevel="0" collapsed="false">
      <c r="A16" s="8" t="s">
        <v>570</v>
      </c>
      <c r="B16" s="8" t="n">
        <f aca="false">COUNTIF(Cribado!$I$2:$I$70,A16)</f>
        <v>1</v>
      </c>
      <c r="C16" s="8"/>
      <c r="D16" s="8"/>
    </row>
    <row r="17" customFormat="false" ht="15" hidden="false" customHeight="true" outlineLevel="0" collapsed="false">
      <c r="A17" s="8" t="s">
        <v>571</v>
      </c>
      <c r="B17" s="8" t="n">
        <f aca="false">COUNTIF(Cribado!$I$2:$I$70,A17)</f>
        <v>1</v>
      </c>
      <c r="C17" s="8"/>
      <c r="D17" s="8"/>
    </row>
    <row r="18" customFormat="false" ht="15" hidden="false" customHeight="true" outlineLevel="0" collapsed="false">
      <c r="A18" s="8" t="s">
        <v>572</v>
      </c>
      <c r="B18" s="8" t="n">
        <f aca="false">COUNTIF(Cribado!$I$2:$I$70,A18)</f>
        <v>9</v>
      </c>
      <c r="C18" s="8"/>
      <c r="D18" s="8"/>
    </row>
    <row r="19" customFormat="false" ht="15" hidden="false" customHeight="true" outlineLevel="0" collapsed="false">
      <c r="A19" s="8" t="s">
        <v>573</v>
      </c>
      <c r="B19" s="8" t="n">
        <f aca="false">COUNTIF(Cribado!$I$2:$I$70,A19)</f>
        <v>1</v>
      </c>
      <c r="C19" s="8"/>
      <c r="D19" s="8"/>
    </row>
    <row r="20" customFormat="false" ht="15" hidden="false" customHeight="true" outlineLevel="0" collapsed="false">
      <c r="A20" s="8" t="s">
        <v>574</v>
      </c>
      <c r="B20" s="8" t="n">
        <f aca="false">COUNTIF(Cribado!$I$2:$I$70,A20)</f>
        <v>3</v>
      </c>
      <c r="C20" s="8"/>
      <c r="D20" s="8"/>
    </row>
    <row r="21" customFormat="false" ht="15" hidden="false" customHeight="true" outlineLevel="0" collapsed="false">
      <c r="A21" s="8" t="s">
        <v>575</v>
      </c>
      <c r="B21" s="8" t="n">
        <f aca="false">COUNTIF(Cribado!$I$2:$I$70,A21)</f>
        <v>1</v>
      </c>
      <c r="C21" s="8"/>
      <c r="D21" s="8"/>
    </row>
    <row r="22" customFormat="false" ht="15" hidden="false" customHeight="true" outlineLevel="0" collapsed="false">
      <c r="A22" s="8" t="s">
        <v>576</v>
      </c>
      <c r="B22" s="8" t="n">
        <f aca="false">COUNTIF(Cribado!$I$2:$I$70,A22)</f>
        <v>1</v>
      </c>
      <c r="C22" s="8"/>
      <c r="D22" s="8"/>
    </row>
    <row r="23" customFormat="false" ht="15" hidden="false" customHeight="true" outlineLevel="0" collapsed="false">
      <c r="A23" s="8" t="s">
        <v>577</v>
      </c>
      <c r="B23" s="8" t="n">
        <f aca="false">COUNTIF(Cribado!$I$2:$I$70,A23)</f>
        <v>1</v>
      </c>
      <c r="C23" s="8"/>
      <c r="D23" s="8"/>
    </row>
    <row r="24" customFormat="false" ht="15" hidden="false" customHeight="true" outlineLevel="0" collapsed="false">
      <c r="A24" s="8" t="s">
        <v>578</v>
      </c>
      <c r="B24" s="8" t="n">
        <f aca="false">COUNTIF(Cribado!$I$2:$I$70,A24)</f>
        <v>1</v>
      </c>
      <c r="C24" s="8"/>
      <c r="D24" s="8"/>
    </row>
    <row r="25" customFormat="false" ht="15" hidden="false" customHeight="true" outlineLevel="0" collapsed="false">
      <c r="A25" s="8" t="s">
        <v>579</v>
      </c>
      <c r="B25" s="8" t="n">
        <f aca="false">SUM(B13:B24)</f>
        <v>26</v>
      </c>
      <c r="C25" s="8"/>
      <c r="D25" s="8"/>
    </row>
    <row r="26" customFormat="false" ht="15" hidden="false" customHeight="true" outlineLevel="0" collapsed="false">
      <c r="A26" s="9"/>
      <c r="B26" s="8"/>
      <c r="C26" s="8"/>
      <c r="D26" s="8"/>
    </row>
    <row r="27" customFormat="false" ht="30" hidden="false" customHeight="true" outlineLevel="0" collapsed="false">
      <c r="A27" s="10" t="s">
        <v>580</v>
      </c>
      <c r="B27" s="10"/>
      <c r="C27" s="10"/>
      <c r="D27" s="10"/>
    </row>
    <row r="28" customFormat="false" ht="30" hidden="false" customHeight="true" outlineLevel="0" collapsed="false">
      <c r="A28" s="10" t="s">
        <v>581</v>
      </c>
      <c r="B28" s="10"/>
      <c r="C28" s="10"/>
      <c r="D28" s="10"/>
    </row>
    <row r="29" customFormat="false" ht="30" hidden="false" customHeight="true" outlineLevel="0" collapsed="false">
      <c r="A29" s="10" t="s">
        <v>582</v>
      </c>
      <c r="B29" s="10"/>
      <c r="C29" s="10"/>
      <c r="D29" s="10"/>
    </row>
    <row r="30" customFormat="false" ht="30" hidden="false" customHeight="true" outlineLevel="0" collapsed="false">
      <c r="A30" s="10" t="s">
        <v>583</v>
      </c>
      <c r="B30" s="10"/>
      <c r="C30" s="10"/>
      <c r="D30" s="10"/>
    </row>
    <row r="31" customFormat="false" ht="30" hidden="false" customHeight="true" outlineLevel="0" collapsed="false">
      <c r="A31" s="10" t="s">
        <v>584</v>
      </c>
      <c r="B31" s="10"/>
      <c r="C31" s="10"/>
      <c r="D31" s="10"/>
    </row>
    <row r="32" customFormat="false" ht="30" hidden="false" customHeight="true" outlineLevel="0" collapsed="false">
      <c r="A32" s="10" t="s">
        <v>585</v>
      </c>
      <c r="B32" s="10"/>
      <c r="C32" s="10"/>
      <c r="D32" s="10"/>
    </row>
    <row r="33" customFormat="false" ht="30" hidden="false" customHeight="true" outlineLevel="0" collapsed="false">
      <c r="A33" s="10" t="s">
        <v>586</v>
      </c>
      <c r="B33" s="10"/>
      <c r="C33" s="10"/>
      <c r="D33" s="10"/>
    </row>
    <row r="34" customFormat="false" ht="34.5" hidden="false" customHeight="true" outlineLevel="0" collapsed="false">
      <c r="A34" s="8" t="s">
        <v>587</v>
      </c>
      <c r="B34" s="8"/>
      <c r="C34" s="8"/>
      <c r="D34" s="8"/>
    </row>
    <row r="35" customFormat="false" ht="30" hidden="false" customHeight="true" outlineLevel="0" collapsed="false">
      <c r="A35" s="10" t="s">
        <v>588</v>
      </c>
      <c r="B35" s="10"/>
      <c r="C35" s="10"/>
      <c r="D35" s="10"/>
    </row>
  </sheetData>
  <mergeCells count="8">
    <mergeCell ref="A27:D27"/>
    <mergeCell ref="A28:D28"/>
    <mergeCell ref="A29:D29"/>
    <mergeCell ref="A30:D30"/>
    <mergeCell ref="A31:D31"/>
    <mergeCell ref="A32:D32"/>
    <mergeCell ref="A33:D33"/>
    <mergeCell ref="A35:D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4"/>
    <col collapsed="false" customWidth="true" hidden="false" outlineLevel="0" max="3" min="3" style="1" width="30"/>
    <col collapsed="false" customWidth="true" hidden="false" outlineLevel="0" max="4" min="4" style="1" width="10"/>
    <col collapsed="false" customWidth="true" hidden="false" outlineLevel="0" max="5" min="5" style="1" width="60"/>
    <col collapsed="false" customWidth="true" hidden="false" outlineLevel="0" max="6" min="6" style="1" width="12"/>
    <col collapsed="false" customWidth="true" hidden="false" outlineLevel="0" max="7" min="7" style="1" width="45"/>
    <col collapsed="false" customWidth="true" hidden="false" outlineLevel="0" max="8" min="8" style="1" width="11"/>
    <col collapsed="false" customWidth="true" hidden="false" outlineLevel="0" max="9" min="9" style="1" width="50"/>
  </cols>
  <sheetData>
    <row r="1" customFormat="false" ht="31.5" hidden="false" customHeight="true" outlineLevel="0" collapsed="false">
      <c r="A1" s="2" t="s">
        <v>0</v>
      </c>
      <c r="B1" s="2" t="s">
        <v>589</v>
      </c>
      <c r="C1" s="2" t="s">
        <v>3</v>
      </c>
      <c r="D1" s="2" t="s">
        <v>4</v>
      </c>
      <c r="E1" s="2" t="s">
        <v>5</v>
      </c>
      <c r="F1" s="2" t="s">
        <v>590</v>
      </c>
      <c r="G1" s="2" t="s">
        <v>18</v>
      </c>
      <c r="H1" s="2" t="s">
        <v>591</v>
      </c>
      <c r="I1" s="2" t="s">
        <v>592</v>
      </c>
    </row>
    <row r="2" customFormat="false" ht="23.25" hidden="false" customHeight="true" outlineLevel="0" collapsed="false">
      <c r="A2" s="3" t="s">
        <v>23</v>
      </c>
      <c r="B2" s="3" t="s">
        <v>593</v>
      </c>
      <c r="C2" s="3" t="s">
        <v>26</v>
      </c>
      <c r="D2" s="3" t="s">
        <v>27</v>
      </c>
      <c r="E2" s="3" t="s">
        <v>28</v>
      </c>
      <c r="F2" s="3" t="n">
        <v>1</v>
      </c>
      <c r="G2" s="3" t="s">
        <v>41</v>
      </c>
      <c r="H2" s="3" t="s">
        <v>594</v>
      </c>
      <c r="I2" s="3"/>
    </row>
    <row r="3" customFormat="false" ht="23.25" hidden="false" customHeight="true" outlineLevel="0" collapsed="false">
      <c r="A3" s="3" t="s">
        <v>45</v>
      </c>
      <c r="B3" s="3" t="s">
        <v>593</v>
      </c>
      <c r="C3" s="3" t="s">
        <v>46</v>
      </c>
      <c r="D3" s="3" t="s">
        <v>47</v>
      </c>
      <c r="E3" s="3" t="s">
        <v>48</v>
      </c>
      <c r="F3" s="3" t="n">
        <v>1</v>
      </c>
      <c r="G3" s="3" t="s">
        <v>41</v>
      </c>
      <c r="H3" s="3" t="s">
        <v>594</v>
      </c>
      <c r="I3" s="3"/>
    </row>
    <row r="4" customFormat="false" ht="45.75" hidden="false" customHeight="true" outlineLevel="0" collapsed="false">
      <c r="A4" s="3" t="s">
        <v>59</v>
      </c>
      <c r="B4" s="3" t="s">
        <v>593</v>
      </c>
      <c r="C4" s="3" t="s">
        <v>61</v>
      </c>
      <c r="D4" s="3" t="s">
        <v>62</v>
      </c>
      <c r="E4" s="3" t="s">
        <v>63</v>
      </c>
      <c r="F4" s="3" t="n">
        <v>3</v>
      </c>
      <c r="G4" s="3" t="s">
        <v>74</v>
      </c>
      <c r="H4" s="3" t="s">
        <v>594</v>
      </c>
      <c r="I4" s="3"/>
    </row>
    <row r="5" customFormat="false" ht="34.5" hidden="false" customHeight="true" outlineLevel="0" collapsed="false">
      <c r="A5" s="3" t="s">
        <v>76</v>
      </c>
      <c r="B5" s="3" t="s">
        <v>593</v>
      </c>
      <c r="C5" s="3" t="s">
        <v>78</v>
      </c>
      <c r="D5" s="3" t="s">
        <v>27</v>
      </c>
      <c r="E5" s="3" t="s">
        <v>79</v>
      </c>
      <c r="F5" s="3" t="n">
        <v>2</v>
      </c>
      <c r="G5" s="3" t="s">
        <v>90</v>
      </c>
      <c r="H5" s="3" t="s">
        <v>594</v>
      </c>
      <c r="I5" s="3"/>
    </row>
    <row r="6" customFormat="false" ht="57" hidden="false" customHeight="true" outlineLevel="0" collapsed="false">
      <c r="A6" s="3" t="s">
        <v>93</v>
      </c>
      <c r="B6" s="3" t="s">
        <v>593</v>
      </c>
      <c r="C6" s="3" t="s">
        <v>94</v>
      </c>
      <c r="D6" s="3" t="s">
        <v>95</v>
      </c>
      <c r="E6" s="3" t="s">
        <v>96</v>
      </c>
      <c r="F6" s="3" t="n">
        <v>3</v>
      </c>
      <c r="G6" s="3" t="s">
        <v>104</v>
      </c>
      <c r="H6" s="3" t="s">
        <v>594</v>
      </c>
      <c r="I6" s="3"/>
    </row>
    <row r="7" customFormat="false" ht="23.25" hidden="false" customHeight="true" outlineLevel="0" collapsed="false">
      <c r="A7" s="3" t="s">
        <v>595</v>
      </c>
      <c r="B7" s="3" t="s">
        <v>593</v>
      </c>
      <c r="C7" s="3" t="s">
        <v>596</v>
      </c>
      <c r="D7" s="3" t="s">
        <v>261</v>
      </c>
      <c r="E7" s="3" t="s">
        <v>597</v>
      </c>
      <c r="F7" s="3" t="n">
        <v>1</v>
      </c>
      <c r="G7" s="3" t="s">
        <v>41</v>
      </c>
      <c r="H7" s="3" t="s">
        <v>598</v>
      </c>
      <c r="I7" s="3" t="s">
        <v>570</v>
      </c>
    </row>
    <row r="8" customFormat="false" ht="23.25" hidden="false" customHeight="true" outlineLevel="0" collapsed="false">
      <c r="A8" s="3" t="s">
        <v>599</v>
      </c>
      <c r="B8" s="3" t="s">
        <v>593</v>
      </c>
      <c r="C8" s="3" t="s">
        <v>61</v>
      </c>
      <c r="D8" s="3" t="s">
        <v>150</v>
      </c>
      <c r="E8" s="3" t="s">
        <v>600</v>
      </c>
      <c r="F8" s="3" t="n">
        <v>1</v>
      </c>
      <c r="G8" s="3" t="s">
        <v>41</v>
      </c>
      <c r="H8" s="3" t="s">
        <v>598</v>
      </c>
      <c r="I8" s="3" t="s">
        <v>571</v>
      </c>
    </row>
    <row r="9" customFormat="false" ht="23.25" hidden="false" customHeight="true" outlineLevel="0" collapsed="false">
      <c r="A9" s="3" t="s">
        <v>601</v>
      </c>
      <c r="B9" s="3" t="s">
        <v>593</v>
      </c>
      <c r="C9" s="3" t="s">
        <v>602</v>
      </c>
      <c r="D9" s="3" t="s">
        <v>150</v>
      </c>
      <c r="E9" s="3" t="s">
        <v>603</v>
      </c>
      <c r="F9" s="3" t="n">
        <v>1</v>
      </c>
      <c r="G9" s="3" t="s">
        <v>41</v>
      </c>
      <c r="H9" s="3" t="s">
        <v>598</v>
      </c>
      <c r="I9" s="3" t="s">
        <v>572</v>
      </c>
    </row>
    <row r="10" customFormat="false" ht="23.25" hidden="false" customHeight="true" outlineLevel="0" collapsed="false">
      <c r="A10" s="3" t="s">
        <v>604</v>
      </c>
      <c r="B10" s="3" t="s">
        <v>593</v>
      </c>
      <c r="C10" s="3" t="s">
        <v>605</v>
      </c>
      <c r="D10" s="3" t="s">
        <v>261</v>
      </c>
      <c r="E10" s="3" t="s">
        <v>606</v>
      </c>
      <c r="F10" s="3" t="n">
        <v>1</v>
      </c>
      <c r="G10" s="3" t="s">
        <v>41</v>
      </c>
      <c r="H10" s="3" t="s">
        <v>598</v>
      </c>
      <c r="I10" s="3" t="s">
        <v>572</v>
      </c>
    </row>
    <row r="11" customFormat="false" ht="23.25" hidden="false" customHeight="true" outlineLevel="0" collapsed="false">
      <c r="A11" s="3" t="s">
        <v>607</v>
      </c>
      <c r="B11" s="3" t="s">
        <v>593</v>
      </c>
      <c r="C11" s="3" t="s">
        <v>608</v>
      </c>
      <c r="D11" s="3" t="s">
        <v>198</v>
      </c>
      <c r="E11" s="3" t="s">
        <v>609</v>
      </c>
      <c r="F11" s="3" t="n">
        <v>1</v>
      </c>
      <c r="G11" s="3" t="s">
        <v>41</v>
      </c>
      <c r="H11" s="3" t="s">
        <v>598</v>
      </c>
      <c r="I11" s="3" t="s">
        <v>569</v>
      </c>
    </row>
    <row r="12" customFormat="false" ht="23.25" hidden="false" customHeight="true" outlineLevel="0" collapsed="false">
      <c r="A12" s="3" t="s">
        <v>610</v>
      </c>
      <c r="B12" s="3" t="s">
        <v>593</v>
      </c>
      <c r="C12" s="3" t="s">
        <v>611</v>
      </c>
      <c r="D12" s="3" t="s">
        <v>198</v>
      </c>
      <c r="E12" s="3" t="s">
        <v>612</v>
      </c>
      <c r="F12" s="3" t="n">
        <v>1</v>
      </c>
      <c r="G12" s="3" t="s">
        <v>41</v>
      </c>
      <c r="H12" s="3" t="s">
        <v>598</v>
      </c>
      <c r="I12" s="3" t="s">
        <v>572</v>
      </c>
    </row>
    <row r="13" customFormat="false" ht="34.5" hidden="false" customHeight="true" outlineLevel="0" collapsed="false">
      <c r="A13" s="3" t="s">
        <v>106</v>
      </c>
      <c r="B13" s="3" t="s">
        <v>593</v>
      </c>
      <c r="C13" s="3" t="s">
        <v>108</v>
      </c>
      <c r="D13" s="3" t="s">
        <v>95</v>
      </c>
      <c r="E13" s="3" t="s">
        <v>109</v>
      </c>
      <c r="F13" s="3" t="n">
        <v>2</v>
      </c>
      <c r="G13" s="3" t="s">
        <v>90</v>
      </c>
      <c r="H13" s="3" t="s">
        <v>594</v>
      </c>
      <c r="I13" s="3"/>
    </row>
    <row r="14" customFormat="false" ht="23.25" hidden="false" customHeight="true" outlineLevel="0" collapsed="false">
      <c r="A14" s="3" t="s">
        <v>121</v>
      </c>
      <c r="B14" s="3" t="s">
        <v>593</v>
      </c>
      <c r="C14" s="3" t="s">
        <v>122</v>
      </c>
      <c r="D14" s="3" t="s">
        <v>123</v>
      </c>
      <c r="E14" s="3" t="s">
        <v>124</v>
      </c>
      <c r="F14" s="3" t="n">
        <v>1</v>
      </c>
      <c r="G14" s="3" t="s">
        <v>41</v>
      </c>
      <c r="H14" s="3" t="s">
        <v>594</v>
      </c>
      <c r="I14" s="3"/>
    </row>
    <row r="15" customFormat="false" ht="23.25" hidden="false" customHeight="true" outlineLevel="0" collapsed="false">
      <c r="A15" s="3" t="s">
        <v>613</v>
      </c>
      <c r="B15" s="3" t="s">
        <v>593</v>
      </c>
      <c r="C15" s="3" t="s">
        <v>614</v>
      </c>
      <c r="D15" s="3" t="s">
        <v>47</v>
      </c>
      <c r="E15" s="3" t="s">
        <v>615</v>
      </c>
      <c r="F15" s="3" t="n">
        <v>1</v>
      </c>
      <c r="G15" s="3" t="s">
        <v>41</v>
      </c>
      <c r="H15" s="3" t="s">
        <v>598</v>
      </c>
      <c r="I15" s="3" t="s">
        <v>572</v>
      </c>
    </row>
    <row r="16" customFormat="false" ht="23.25" hidden="false" customHeight="true" outlineLevel="0" collapsed="false">
      <c r="A16" s="3" t="s">
        <v>616</v>
      </c>
      <c r="B16" s="3" t="s">
        <v>593</v>
      </c>
      <c r="C16" s="3" t="s">
        <v>617</v>
      </c>
      <c r="D16" s="3" t="s">
        <v>261</v>
      </c>
      <c r="E16" s="3" t="s">
        <v>618</v>
      </c>
      <c r="F16" s="3" t="n">
        <v>1</v>
      </c>
      <c r="G16" s="3" t="s">
        <v>41</v>
      </c>
      <c r="H16" s="3" t="s">
        <v>598</v>
      </c>
      <c r="I16" s="3" t="s">
        <v>572</v>
      </c>
    </row>
    <row r="17" customFormat="false" ht="23.25" hidden="false" customHeight="true" outlineLevel="0" collapsed="false">
      <c r="A17" s="3" t="s">
        <v>619</v>
      </c>
      <c r="B17" s="3" t="s">
        <v>593</v>
      </c>
      <c r="C17" s="3" t="s">
        <v>620</v>
      </c>
      <c r="D17" s="3" t="s">
        <v>47</v>
      </c>
      <c r="E17" s="3" t="s">
        <v>621</v>
      </c>
      <c r="F17" s="3" t="n">
        <v>1</v>
      </c>
      <c r="G17" s="3" t="s">
        <v>41</v>
      </c>
      <c r="H17" s="3" t="s">
        <v>598</v>
      </c>
      <c r="I17" s="3" t="s">
        <v>572</v>
      </c>
    </row>
    <row r="18" customFormat="false" ht="23.25" hidden="false" customHeight="true" outlineLevel="0" collapsed="false">
      <c r="A18" s="3" t="s">
        <v>622</v>
      </c>
      <c r="B18" s="3" t="s">
        <v>593</v>
      </c>
      <c r="C18" s="3" t="s">
        <v>623</v>
      </c>
      <c r="D18" s="3" t="s">
        <v>150</v>
      </c>
      <c r="E18" s="3" t="s">
        <v>624</v>
      </c>
      <c r="F18" s="3" t="n">
        <v>1</v>
      </c>
      <c r="G18" s="3" t="s">
        <v>41</v>
      </c>
      <c r="H18" s="3" t="s">
        <v>598</v>
      </c>
      <c r="I18" s="3" t="s">
        <v>572</v>
      </c>
    </row>
    <row r="19" customFormat="false" ht="23.25" hidden="false" customHeight="true" outlineLevel="0" collapsed="false">
      <c r="A19" s="3" t="s">
        <v>134</v>
      </c>
      <c r="B19" s="3" t="s">
        <v>593</v>
      </c>
      <c r="C19" s="3" t="s">
        <v>135</v>
      </c>
      <c r="D19" s="3" t="s">
        <v>47</v>
      </c>
      <c r="E19" s="3" t="s">
        <v>136</v>
      </c>
      <c r="F19" s="3" t="n">
        <v>1</v>
      </c>
      <c r="G19" s="3" t="s">
        <v>41</v>
      </c>
      <c r="H19" s="3" t="s">
        <v>594</v>
      </c>
      <c r="I19" s="3"/>
    </row>
    <row r="20" customFormat="false" ht="23.25" hidden="false" customHeight="true" outlineLevel="0" collapsed="false">
      <c r="A20" s="3" t="s">
        <v>625</v>
      </c>
      <c r="B20" s="3" t="s">
        <v>593</v>
      </c>
      <c r="C20" s="3" t="s">
        <v>626</v>
      </c>
      <c r="D20" s="3" t="s">
        <v>165</v>
      </c>
      <c r="E20" s="3" t="s">
        <v>627</v>
      </c>
      <c r="F20" s="3" t="n">
        <v>1</v>
      </c>
      <c r="G20" s="3" t="s">
        <v>41</v>
      </c>
      <c r="H20" s="3" t="s">
        <v>598</v>
      </c>
      <c r="I20" s="3" t="s">
        <v>572</v>
      </c>
    </row>
    <row r="21" customFormat="false" ht="23.25" hidden="false" customHeight="true" outlineLevel="0" collapsed="false">
      <c r="A21" s="3" t="s">
        <v>628</v>
      </c>
      <c r="B21" s="3" t="s">
        <v>593</v>
      </c>
      <c r="C21" s="3" t="s">
        <v>629</v>
      </c>
      <c r="D21" s="3" t="s">
        <v>630</v>
      </c>
      <c r="E21" s="3" t="s">
        <v>631</v>
      </c>
      <c r="F21" s="3" t="n">
        <v>1</v>
      </c>
      <c r="G21" s="3" t="s">
        <v>41</v>
      </c>
      <c r="H21" s="3" t="s">
        <v>598</v>
      </c>
      <c r="I21" s="3" t="s">
        <v>572</v>
      </c>
    </row>
    <row r="22" customFormat="false" ht="23.25" hidden="false" customHeight="true" outlineLevel="0" collapsed="false">
      <c r="A22" s="3" t="s">
        <v>147</v>
      </c>
      <c r="B22" s="3" t="s">
        <v>593</v>
      </c>
      <c r="C22" s="3" t="s">
        <v>149</v>
      </c>
      <c r="D22" s="3" t="s">
        <v>150</v>
      </c>
      <c r="E22" s="3" t="s">
        <v>151</v>
      </c>
      <c r="F22" s="3" t="n">
        <v>1</v>
      </c>
      <c r="G22" s="3" t="s">
        <v>161</v>
      </c>
      <c r="H22" s="3" t="s">
        <v>594</v>
      </c>
      <c r="I22" s="3"/>
    </row>
    <row r="23" customFormat="false" ht="57" hidden="false" customHeight="true" outlineLevel="0" collapsed="false">
      <c r="A23" s="3" t="s">
        <v>163</v>
      </c>
      <c r="B23" s="3" t="s">
        <v>593</v>
      </c>
      <c r="C23" s="3" t="s">
        <v>164</v>
      </c>
      <c r="D23" s="3" t="s">
        <v>165</v>
      </c>
      <c r="E23" s="3" t="s">
        <v>166</v>
      </c>
      <c r="F23" s="3" t="n">
        <v>1</v>
      </c>
      <c r="G23" s="3" t="s">
        <v>161</v>
      </c>
      <c r="H23" s="3" t="s">
        <v>594</v>
      </c>
      <c r="I23" s="3"/>
    </row>
    <row r="24" customFormat="false" ht="34.5" hidden="false" customHeight="true" outlineLevel="0" collapsed="false">
      <c r="A24" s="3" t="s">
        <v>632</v>
      </c>
      <c r="B24" s="3" t="s">
        <v>593</v>
      </c>
      <c r="C24" s="3" t="s">
        <v>633</v>
      </c>
      <c r="D24" s="3" t="s">
        <v>276</v>
      </c>
      <c r="E24" s="3" t="s">
        <v>634</v>
      </c>
      <c r="F24" s="3" t="n">
        <v>1</v>
      </c>
      <c r="G24" s="3" t="s">
        <v>161</v>
      </c>
      <c r="H24" s="3" t="s">
        <v>598</v>
      </c>
      <c r="I24" s="3" t="s">
        <v>568</v>
      </c>
    </row>
    <row r="25" customFormat="false" ht="23.25" hidden="false" customHeight="true" outlineLevel="0" collapsed="false">
      <c r="A25" s="3" t="s">
        <v>174</v>
      </c>
      <c r="B25" s="3" t="s">
        <v>593</v>
      </c>
      <c r="C25" s="3" t="s">
        <v>175</v>
      </c>
      <c r="D25" s="3" t="s">
        <v>165</v>
      </c>
      <c r="E25" s="3" t="s">
        <v>176</v>
      </c>
      <c r="F25" s="3" t="n">
        <v>1</v>
      </c>
      <c r="G25" s="3" t="s">
        <v>161</v>
      </c>
      <c r="H25" s="3" t="s">
        <v>594</v>
      </c>
      <c r="I25" s="3"/>
    </row>
    <row r="26" customFormat="false" ht="23.25" hidden="false" customHeight="true" outlineLevel="0" collapsed="false">
      <c r="A26" s="3" t="s">
        <v>185</v>
      </c>
      <c r="B26" s="3" t="s">
        <v>593</v>
      </c>
      <c r="C26" s="3" t="s">
        <v>186</v>
      </c>
      <c r="D26" s="3" t="s">
        <v>95</v>
      </c>
      <c r="E26" s="3" t="s">
        <v>187</v>
      </c>
      <c r="F26" s="3" t="n">
        <v>1</v>
      </c>
      <c r="G26" s="3" t="s">
        <v>161</v>
      </c>
      <c r="H26" s="3" t="s">
        <v>594</v>
      </c>
      <c r="I26" s="3"/>
    </row>
    <row r="27" customFormat="false" ht="45.75" hidden="false" customHeight="true" outlineLevel="0" collapsed="false">
      <c r="A27" s="3" t="s">
        <v>635</v>
      </c>
      <c r="B27" s="3" t="s">
        <v>593</v>
      </c>
      <c r="C27" s="3" t="s">
        <v>636</v>
      </c>
      <c r="D27" s="3" t="s">
        <v>165</v>
      </c>
      <c r="E27" s="3" t="s">
        <v>637</v>
      </c>
      <c r="F27" s="3" t="n">
        <v>2</v>
      </c>
      <c r="G27" s="3" t="s">
        <v>638</v>
      </c>
      <c r="H27" s="3" t="s">
        <v>598</v>
      </c>
      <c r="I27" s="3" t="s">
        <v>568</v>
      </c>
    </row>
    <row r="28" customFormat="false" ht="34.5" hidden="false" customHeight="true" outlineLevel="0" collapsed="false">
      <c r="A28" s="3" t="s">
        <v>639</v>
      </c>
      <c r="B28" s="3" t="s">
        <v>593</v>
      </c>
      <c r="C28" s="3" t="s">
        <v>640</v>
      </c>
      <c r="D28" s="3" t="s">
        <v>261</v>
      </c>
      <c r="E28" s="3" t="s">
        <v>641</v>
      </c>
      <c r="F28" s="3" t="n">
        <v>1</v>
      </c>
      <c r="G28" s="3" t="s">
        <v>161</v>
      </c>
      <c r="H28" s="3" t="s">
        <v>598</v>
      </c>
      <c r="I28" s="3" t="s">
        <v>567</v>
      </c>
    </row>
    <row r="29" customFormat="false" ht="23.25" hidden="false" customHeight="true" outlineLevel="0" collapsed="false">
      <c r="A29" s="3" t="s">
        <v>196</v>
      </c>
      <c r="B29" s="3" t="s">
        <v>593</v>
      </c>
      <c r="C29" s="3" t="s">
        <v>197</v>
      </c>
      <c r="D29" s="3" t="s">
        <v>198</v>
      </c>
      <c r="E29" s="3" t="s">
        <v>199</v>
      </c>
      <c r="F29" s="3" t="n">
        <v>1</v>
      </c>
      <c r="G29" s="3" t="s">
        <v>161</v>
      </c>
      <c r="H29" s="3" t="s">
        <v>594</v>
      </c>
      <c r="I29" s="3"/>
    </row>
    <row r="30" customFormat="false" ht="23.25" hidden="false" customHeight="true" outlineLevel="0" collapsed="false">
      <c r="A30" s="3" t="s">
        <v>210</v>
      </c>
      <c r="B30" s="3" t="s">
        <v>593</v>
      </c>
      <c r="C30" s="3" t="s">
        <v>211</v>
      </c>
      <c r="D30" s="3" t="s">
        <v>27</v>
      </c>
      <c r="E30" s="3" t="s">
        <v>212</v>
      </c>
      <c r="F30" s="3" t="n">
        <v>1</v>
      </c>
      <c r="G30" s="3" t="s">
        <v>161</v>
      </c>
      <c r="H30" s="3" t="s">
        <v>594</v>
      </c>
      <c r="I30" s="3"/>
    </row>
    <row r="31" customFormat="false" ht="34.5" hidden="false" customHeight="true" outlineLevel="0" collapsed="false">
      <c r="A31" s="3" t="s">
        <v>222</v>
      </c>
      <c r="B31" s="3" t="s">
        <v>593</v>
      </c>
      <c r="C31" s="3" t="s">
        <v>223</v>
      </c>
      <c r="D31" s="3" t="s">
        <v>224</v>
      </c>
      <c r="E31" s="3" t="s">
        <v>225</v>
      </c>
      <c r="F31" s="3" t="n">
        <v>2</v>
      </c>
      <c r="G31" s="3" t="s">
        <v>236</v>
      </c>
      <c r="H31" s="3" t="s">
        <v>594</v>
      </c>
      <c r="I31" s="3"/>
    </row>
    <row r="32" customFormat="false" ht="34.5" hidden="false" customHeight="true" outlineLevel="0" collapsed="false">
      <c r="A32" s="3" t="s">
        <v>237</v>
      </c>
      <c r="B32" s="3" t="s">
        <v>593</v>
      </c>
      <c r="C32" s="3" t="s">
        <v>238</v>
      </c>
      <c r="D32" s="3" t="s">
        <v>165</v>
      </c>
      <c r="E32" s="3" t="s">
        <v>239</v>
      </c>
      <c r="F32" s="3" t="n">
        <v>2</v>
      </c>
      <c r="G32" s="3" t="s">
        <v>236</v>
      </c>
      <c r="H32" s="3" t="s">
        <v>594</v>
      </c>
      <c r="I32" s="3"/>
    </row>
    <row r="33" customFormat="false" ht="34.5" hidden="false" customHeight="true" outlineLevel="0" collapsed="false">
      <c r="A33" s="3" t="s">
        <v>247</v>
      </c>
      <c r="B33" s="3" t="s">
        <v>593</v>
      </c>
      <c r="C33" s="3" t="s">
        <v>249</v>
      </c>
      <c r="D33" s="3" t="s">
        <v>95</v>
      </c>
      <c r="E33" s="3" t="s">
        <v>250</v>
      </c>
      <c r="F33" s="3" t="n">
        <v>2</v>
      </c>
      <c r="G33" s="3" t="s">
        <v>236</v>
      </c>
      <c r="H33" s="3" t="s">
        <v>594</v>
      </c>
      <c r="I33" s="3"/>
    </row>
    <row r="34" customFormat="false" ht="23.25" hidden="false" customHeight="true" outlineLevel="0" collapsed="false">
      <c r="A34" s="3" t="s">
        <v>259</v>
      </c>
      <c r="B34" s="3" t="s">
        <v>593</v>
      </c>
      <c r="C34" s="3" t="s">
        <v>260</v>
      </c>
      <c r="D34" s="3" t="s">
        <v>261</v>
      </c>
      <c r="E34" s="3" t="s">
        <v>262</v>
      </c>
      <c r="F34" s="3" t="n">
        <v>1</v>
      </c>
      <c r="G34" s="3" t="s">
        <v>272</v>
      </c>
      <c r="H34" s="3" t="s">
        <v>594</v>
      </c>
      <c r="I34" s="3"/>
    </row>
    <row r="35" customFormat="false" ht="23.25" hidden="false" customHeight="true" outlineLevel="0" collapsed="false">
      <c r="A35" s="3" t="s">
        <v>273</v>
      </c>
      <c r="B35" s="3" t="s">
        <v>593</v>
      </c>
      <c r="C35" s="3" t="s">
        <v>275</v>
      </c>
      <c r="D35" s="3" t="s">
        <v>276</v>
      </c>
      <c r="E35" s="3" t="s">
        <v>277</v>
      </c>
      <c r="F35" s="3" t="n">
        <v>1</v>
      </c>
      <c r="G35" s="3" t="s">
        <v>272</v>
      </c>
      <c r="H35" s="3" t="s">
        <v>594</v>
      </c>
      <c r="I35" s="3"/>
    </row>
    <row r="36" customFormat="false" ht="23.25" hidden="false" customHeight="true" outlineLevel="0" collapsed="false">
      <c r="A36" s="3" t="s">
        <v>642</v>
      </c>
      <c r="B36" s="3" t="s">
        <v>593</v>
      </c>
      <c r="C36" s="3" t="s">
        <v>643</v>
      </c>
      <c r="D36" s="3" t="s">
        <v>47</v>
      </c>
      <c r="E36" s="3" t="s">
        <v>644</v>
      </c>
      <c r="F36" s="3" t="n">
        <v>1</v>
      </c>
      <c r="G36" s="3" t="s">
        <v>272</v>
      </c>
      <c r="H36" s="3" t="s">
        <v>598</v>
      </c>
      <c r="I36" s="3" t="s">
        <v>574</v>
      </c>
    </row>
    <row r="37" customFormat="false" ht="34.5" hidden="false" customHeight="true" outlineLevel="0" collapsed="false">
      <c r="A37" s="3" t="s">
        <v>288</v>
      </c>
      <c r="B37" s="3" t="s">
        <v>593</v>
      </c>
      <c r="C37" s="3" t="s">
        <v>289</v>
      </c>
      <c r="D37" s="3" t="s">
        <v>224</v>
      </c>
      <c r="E37" s="3" t="s">
        <v>290</v>
      </c>
      <c r="F37" s="3" t="n">
        <v>1</v>
      </c>
      <c r="G37" s="3" t="s">
        <v>272</v>
      </c>
      <c r="H37" s="3" t="s">
        <v>594</v>
      </c>
      <c r="I37" s="3"/>
    </row>
    <row r="38" customFormat="false" ht="34.5" hidden="false" customHeight="true" outlineLevel="0" collapsed="false">
      <c r="A38" s="3" t="s">
        <v>299</v>
      </c>
      <c r="B38" s="3" t="s">
        <v>593</v>
      </c>
      <c r="C38" s="3" t="s">
        <v>300</v>
      </c>
      <c r="D38" s="3" t="s">
        <v>47</v>
      </c>
      <c r="E38" s="3" t="s">
        <v>301</v>
      </c>
      <c r="F38" s="3" t="n">
        <v>2</v>
      </c>
      <c r="G38" s="3" t="s">
        <v>236</v>
      </c>
      <c r="H38" s="3" t="s">
        <v>594</v>
      </c>
      <c r="I38" s="3"/>
    </row>
    <row r="39" customFormat="false" ht="45.75" hidden="false" customHeight="true" outlineLevel="0" collapsed="false">
      <c r="A39" s="3" t="s">
        <v>645</v>
      </c>
      <c r="B39" s="3" t="s">
        <v>593</v>
      </c>
      <c r="C39" s="3" t="s">
        <v>646</v>
      </c>
      <c r="D39" s="3" t="s">
        <v>198</v>
      </c>
      <c r="E39" s="3" t="s">
        <v>647</v>
      </c>
      <c r="F39" s="3" t="n">
        <v>1</v>
      </c>
      <c r="G39" s="3" t="s">
        <v>272</v>
      </c>
      <c r="H39" s="3" t="s">
        <v>598</v>
      </c>
      <c r="I39" s="3" t="s">
        <v>574</v>
      </c>
    </row>
    <row r="40" customFormat="false" ht="34.5" hidden="false" customHeight="true" outlineLevel="0" collapsed="false">
      <c r="A40" s="3" t="s">
        <v>312</v>
      </c>
      <c r="B40" s="3" t="s">
        <v>593</v>
      </c>
      <c r="C40" s="3" t="s">
        <v>313</v>
      </c>
      <c r="D40" s="3" t="s">
        <v>27</v>
      </c>
      <c r="E40" s="3" t="s">
        <v>314</v>
      </c>
      <c r="F40" s="3" t="n">
        <v>1</v>
      </c>
      <c r="G40" s="3" t="s">
        <v>272</v>
      </c>
      <c r="H40" s="3" t="s">
        <v>594</v>
      </c>
      <c r="I40" s="3"/>
    </row>
    <row r="41" customFormat="false" ht="23.25" hidden="false" customHeight="true" outlineLevel="0" collapsed="false">
      <c r="A41" s="3" t="s">
        <v>648</v>
      </c>
      <c r="B41" s="3" t="s">
        <v>593</v>
      </c>
      <c r="C41" s="3" t="s">
        <v>649</v>
      </c>
      <c r="D41" s="3" t="s">
        <v>198</v>
      </c>
      <c r="E41" s="3" t="s">
        <v>650</v>
      </c>
      <c r="F41" s="3" t="n">
        <v>1</v>
      </c>
      <c r="G41" s="3" t="s">
        <v>272</v>
      </c>
      <c r="H41" s="3" t="s">
        <v>598</v>
      </c>
      <c r="I41" s="3" t="s">
        <v>574</v>
      </c>
    </row>
    <row r="42" customFormat="false" ht="23.25" hidden="false" customHeight="true" outlineLevel="0" collapsed="false">
      <c r="A42" s="3" t="s">
        <v>651</v>
      </c>
      <c r="B42" s="3" t="s">
        <v>593</v>
      </c>
      <c r="C42" s="3" t="s">
        <v>652</v>
      </c>
      <c r="D42" s="3" t="s">
        <v>150</v>
      </c>
      <c r="E42" s="3" t="s">
        <v>653</v>
      </c>
      <c r="F42" s="3" t="n">
        <v>1</v>
      </c>
      <c r="G42" s="3" t="s">
        <v>272</v>
      </c>
      <c r="H42" s="3" t="s">
        <v>598</v>
      </c>
      <c r="I42" s="3" t="s">
        <v>573</v>
      </c>
    </row>
    <row r="43" customFormat="false" ht="34.5" hidden="false" customHeight="true" outlineLevel="0" collapsed="false">
      <c r="A43" s="3" t="s">
        <v>325</v>
      </c>
      <c r="B43" s="3" t="s">
        <v>593</v>
      </c>
      <c r="C43" s="3" t="s">
        <v>326</v>
      </c>
      <c r="D43" s="3" t="s">
        <v>327</v>
      </c>
      <c r="E43" s="3" t="s">
        <v>328</v>
      </c>
      <c r="F43" s="3" t="n">
        <v>1</v>
      </c>
      <c r="G43" s="3" t="s">
        <v>272</v>
      </c>
      <c r="H43" s="3" t="s">
        <v>594</v>
      </c>
      <c r="I43" s="3"/>
    </row>
    <row r="44" customFormat="false" ht="34.5" hidden="false" customHeight="true" outlineLevel="0" collapsed="false">
      <c r="A44" s="3" t="s">
        <v>654</v>
      </c>
      <c r="B44" s="3" t="s">
        <v>593</v>
      </c>
      <c r="C44" s="3" t="s">
        <v>655</v>
      </c>
      <c r="D44" s="3" t="s">
        <v>47</v>
      </c>
      <c r="E44" s="3" t="s">
        <v>656</v>
      </c>
      <c r="F44" s="3" t="n">
        <v>2</v>
      </c>
      <c r="G44" s="3" t="s">
        <v>236</v>
      </c>
      <c r="H44" s="3" t="s">
        <v>598</v>
      </c>
      <c r="I44" s="3" t="s">
        <v>568</v>
      </c>
    </row>
    <row r="45" customFormat="false" ht="45.75" hidden="false" customHeight="true" outlineLevel="0" collapsed="false">
      <c r="A45" s="3" t="s">
        <v>336</v>
      </c>
      <c r="B45" s="3" t="s">
        <v>593</v>
      </c>
      <c r="C45" s="3" t="s">
        <v>337</v>
      </c>
      <c r="D45" s="3" t="s">
        <v>27</v>
      </c>
      <c r="E45" s="3" t="s">
        <v>338</v>
      </c>
      <c r="F45" s="3" t="n">
        <v>1</v>
      </c>
      <c r="G45" s="3" t="s">
        <v>347</v>
      </c>
      <c r="H45" s="3" t="s">
        <v>594</v>
      </c>
      <c r="I45" s="3"/>
    </row>
    <row r="46" customFormat="false" ht="34.5" hidden="false" customHeight="true" outlineLevel="0" collapsed="false">
      <c r="A46" s="3" t="s">
        <v>348</v>
      </c>
      <c r="B46" s="3" t="s">
        <v>593</v>
      </c>
      <c r="C46" s="3" t="s">
        <v>349</v>
      </c>
      <c r="D46" s="3" t="s">
        <v>350</v>
      </c>
      <c r="E46" s="3" t="s">
        <v>351</v>
      </c>
      <c r="F46" s="3" t="n">
        <v>1</v>
      </c>
      <c r="G46" s="3" t="s">
        <v>347</v>
      </c>
      <c r="H46" s="3" t="s">
        <v>594</v>
      </c>
      <c r="I46" s="3"/>
    </row>
    <row r="47" customFormat="false" ht="15" hidden="false" customHeight="true" outlineLevel="0" collapsed="false">
      <c r="A47" s="3" t="s">
        <v>363</v>
      </c>
      <c r="B47" s="3" t="s">
        <v>593</v>
      </c>
      <c r="C47" s="3" t="s">
        <v>364</v>
      </c>
      <c r="D47" s="3" t="s">
        <v>261</v>
      </c>
      <c r="E47" s="3" t="s">
        <v>365</v>
      </c>
      <c r="F47" s="3" t="n">
        <v>1</v>
      </c>
      <c r="G47" s="3" t="s">
        <v>347</v>
      </c>
      <c r="H47" s="3" t="s">
        <v>594</v>
      </c>
      <c r="I47" s="3"/>
    </row>
    <row r="48" customFormat="false" ht="23.25" hidden="false" customHeight="true" outlineLevel="0" collapsed="false">
      <c r="A48" s="3" t="s">
        <v>375</v>
      </c>
      <c r="B48" s="3" t="s">
        <v>593</v>
      </c>
      <c r="C48" s="3" t="s">
        <v>376</v>
      </c>
      <c r="D48" s="3" t="s">
        <v>150</v>
      </c>
      <c r="E48" s="3" t="s">
        <v>377</v>
      </c>
      <c r="F48" s="3" t="n">
        <v>1</v>
      </c>
      <c r="G48" s="3" t="s">
        <v>347</v>
      </c>
      <c r="H48" s="3" t="s">
        <v>594</v>
      </c>
      <c r="I48" s="3"/>
    </row>
    <row r="49" customFormat="false" ht="45.75" hidden="false" customHeight="true" outlineLevel="0" collapsed="false">
      <c r="A49" s="3" t="s">
        <v>385</v>
      </c>
      <c r="B49" s="3" t="s">
        <v>593</v>
      </c>
      <c r="C49" s="3" t="s">
        <v>386</v>
      </c>
      <c r="D49" s="3" t="s">
        <v>387</v>
      </c>
      <c r="E49" s="3" t="s">
        <v>388</v>
      </c>
      <c r="F49" s="3" t="n">
        <v>1</v>
      </c>
      <c r="G49" s="3" t="s">
        <v>347</v>
      </c>
      <c r="H49" s="3" t="s">
        <v>594</v>
      </c>
      <c r="I49" s="3"/>
    </row>
    <row r="50" customFormat="false" ht="34.5" hidden="false" customHeight="true" outlineLevel="0" collapsed="false">
      <c r="A50" s="3" t="s">
        <v>657</v>
      </c>
      <c r="B50" s="3" t="s">
        <v>593</v>
      </c>
      <c r="C50" s="3" t="s">
        <v>658</v>
      </c>
      <c r="D50" s="3" t="s">
        <v>198</v>
      </c>
      <c r="E50" s="3" t="s">
        <v>659</v>
      </c>
      <c r="F50" s="3" t="n">
        <v>1</v>
      </c>
      <c r="G50" s="3" t="s">
        <v>347</v>
      </c>
      <c r="H50" s="3" t="s">
        <v>598</v>
      </c>
      <c r="I50" s="3" t="s">
        <v>567</v>
      </c>
    </row>
    <row r="51" customFormat="false" ht="23.25" hidden="false" customHeight="true" outlineLevel="0" collapsed="false">
      <c r="A51" s="3" t="s">
        <v>396</v>
      </c>
      <c r="B51" s="3" t="s">
        <v>593</v>
      </c>
      <c r="C51" s="3" t="s">
        <v>397</v>
      </c>
      <c r="D51" s="3" t="s">
        <v>47</v>
      </c>
      <c r="E51" s="3" t="s">
        <v>398</v>
      </c>
      <c r="F51" s="3" t="n">
        <v>1</v>
      </c>
      <c r="G51" s="3" t="s">
        <v>347</v>
      </c>
      <c r="H51" s="3" t="s">
        <v>594</v>
      </c>
      <c r="I51" s="3"/>
    </row>
    <row r="52" customFormat="false" ht="34.5" hidden="false" customHeight="true" outlineLevel="0" collapsed="false">
      <c r="A52" s="3" t="s">
        <v>407</v>
      </c>
      <c r="B52" s="3" t="s">
        <v>593</v>
      </c>
      <c r="C52" s="3" t="s">
        <v>408</v>
      </c>
      <c r="D52" s="3" t="s">
        <v>27</v>
      </c>
      <c r="E52" s="3" t="s">
        <v>409</v>
      </c>
      <c r="F52" s="3" t="n">
        <v>1</v>
      </c>
      <c r="G52" s="3" t="s">
        <v>347</v>
      </c>
      <c r="H52" s="3" t="s">
        <v>594</v>
      </c>
      <c r="I52" s="3"/>
    </row>
    <row r="53" customFormat="false" ht="202.5" hidden="false" customHeight="true" outlineLevel="0" collapsed="false">
      <c r="A53" s="3" t="s">
        <v>660</v>
      </c>
      <c r="B53" s="3" t="s">
        <v>593</v>
      </c>
      <c r="C53" s="3" t="s">
        <v>661</v>
      </c>
      <c r="D53" s="3" t="s">
        <v>662</v>
      </c>
      <c r="E53" s="3" t="s">
        <v>663</v>
      </c>
      <c r="F53" s="3" t="n">
        <v>1</v>
      </c>
      <c r="G53" s="3" t="s">
        <v>347</v>
      </c>
      <c r="H53" s="3" t="s">
        <v>598</v>
      </c>
      <c r="I53" s="3" t="s">
        <v>569</v>
      </c>
    </row>
    <row r="54" customFormat="false" ht="23.25" hidden="false" customHeight="true" outlineLevel="0" collapsed="false">
      <c r="A54" s="3" t="s">
        <v>418</v>
      </c>
      <c r="B54" s="3" t="s">
        <v>593</v>
      </c>
      <c r="C54" s="3" t="s">
        <v>419</v>
      </c>
      <c r="D54" s="3" t="s">
        <v>420</v>
      </c>
      <c r="E54" s="3" t="s">
        <v>421</v>
      </c>
      <c r="F54" s="3" t="n">
        <v>1</v>
      </c>
      <c r="G54" s="3" t="s">
        <v>347</v>
      </c>
      <c r="H54" s="3" t="s">
        <v>594</v>
      </c>
      <c r="I54" s="3"/>
    </row>
    <row r="55" customFormat="false" ht="45.75" hidden="false" customHeight="true" outlineLevel="0" collapsed="false">
      <c r="A55" s="3" t="s">
        <v>429</v>
      </c>
      <c r="B55" s="3" t="s">
        <v>593</v>
      </c>
      <c r="C55" s="3" t="s">
        <v>430</v>
      </c>
      <c r="D55" s="3" t="s">
        <v>27</v>
      </c>
      <c r="E55" s="3" t="s">
        <v>431</v>
      </c>
      <c r="F55" s="3" t="n">
        <v>1</v>
      </c>
      <c r="G55" s="3" t="s">
        <v>347</v>
      </c>
      <c r="H55" s="3" t="s">
        <v>594</v>
      </c>
      <c r="I55" s="3"/>
    </row>
    <row r="56" customFormat="false" ht="15" hidden="false" customHeight="true" outlineLevel="0" collapsed="false">
      <c r="A56" s="3" t="s">
        <v>440</v>
      </c>
      <c r="B56" s="3" t="s">
        <v>664</v>
      </c>
      <c r="C56" s="3" t="s">
        <v>443</v>
      </c>
      <c r="D56" s="3" t="s">
        <v>261</v>
      </c>
      <c r="E56" s="3" t="s">
        <v>444</v>
      </c>
      <c r="F56" s="3" t="n">
        <v>1</v>
      </c>
      <c r="G56" s="3" t="s">
        <v>454</v>
      </c>
      <c r="H56" s="3" t="s">
        <v>594</v>
      </c>
      <c r="I56" s="3"/>
    </row>
    <row r="57" customFormat="false" ht="23.25" hidden="false" customHeight="true" outlineLevel="0" collapsed="false">
      <c r="A57" s="3" t="s">
        <v>665</v>
      </c>
      <c r="B57" s="3" t="s">
        <v>664</v>
      </c>
      <c r="C57" s="3" t="s">
        <v>666</v>
      </c>
      <c r="D57" s="3" t="s">
        <v>261</v>
      </c>
      <c r="E57" s="3" t="s">
        <v>667</v>
      </c>
      <c r="F57" s="3" t="n">
        <v>1</v>
      </c>
      <c r="G57" s="3" t="s">
        <v>454</v>
      </c>
      <c r="H57" s="3" t="s">
        <v>598</v>
      </c>
      <c r="I57" s="3" t="s">
        <v>668</v>
      </c>
    </row>
    <row r="58" customFormat="false" ht="23.25" hidden="false" customHeight="true" outlineLevel="0" collapsed="false">
      <c r="A58" s="3" t="s">
        <v>456</v>
      </c>
      <c r="B58" s="3" t="s">
        <v>664</v>
      </c>
      <c r="C58" s="3" t="s">
        <v>458</v>
      </c>
      <c r="D58" s="3" t="s">
        <v>198</v>
      </c>
      <c r="E58" s="3" t="s">
        <v>459</v>
      </c>
      <c r="F58" s="3" t="n">
        <v>1</v>
      </c>
      <c r="G58" s="3" t="s">
        <v>454</v>
      </c>
      <c r="H58" s="3" t="s">
        <v>594</v>
      </c>
      <c r="I58" s="3"/>
    </row>
    <row r="59" customFormat="false" ht="23.25" hidden="false" customHeight="true" outlineLevel="0" collapsed="false">
      <c r="A59" s="3" t="s">
        <v>468</v>
      </c>
      <c r="B59" s="3" t="s">
        <v>664</v>
      </c>
      <c r="C59" s="3" t="s">
        <v>458</v>
      </c>
      <c r="D59" s="3" t="s">
        <v>150</v>
      </c>
      <c r="E59" s="3" t="s">
        <v>469</v>
      </c>
      <c r="F59" s="3" t="n">
        <v>1</v>
      </c>
      <c r="G59" s="3" t="s">
        <v>454</v>
      </c>
      <c r="H59" s="3" t="s">
        <v>594</v>
      </c>
      <c r="I59" s="3"/>
    </row>
    <row r="60" customFormat="false" ht="34.5" hidden="false" customHeight="true" outlineLevel="0" collapsed="false">
      <c r="A60" s="3" t="s">
        <v>474</v>
      </c>
      <c r="B60" s="3" t="s">
        <v>664</v>
      </c>
      <c r="C60" s="3" t="s">
        <v>476</v>
      </c>
      <c r="D60" s="3" t="s">
        <v>224</v>
      </c>
      <c r="E60" s="3" t="s">
        <v>477</v>
      </c>
      <c r="F60" s="3" t="n">
        <v>1</v>
      </c>
      <c r="G60" s="3" t="s">
        <v>454</v>
      </c>
      <c r="H60" s="3" t="s">
        <v>594</v>
      </c>
      <c r="I60" s="3"/>
    </row>
    <row r="61" customFormat="false" ht="34.5" hidden="false" customHeight="true" outlineLevel="0" collapsed="false">
      <c r="A61" s="3" t="s">
        <v>487</v>
      </c>
      <c r="B61" s="3" t="s">
        <v>664</v>
      </c>
      <c r="C61" s="3" t="s">
        <v>489</v>
      </c>
      <c r="D61" s="3" t="s">
        <v>27</v>
      </c>
      <c r="E61" s="3" t="s">
        <v>490</v>
      </c>
      <c r="F61" s="3" t="n">
        <v>1</v>
      </c>
      <c r="G61" s="3" t="s">
        <v>454</v>
      </c>
      <c r="H61" s="3" t="s">
        <v>594</v>
      </c>
      <c r="I61" s="3"/>
    </row>
    <row r="62" customFormat="false" ht="45.75" hidden="false" customHeight="true" outlineLevel="0" collapsed="false">
      <c r="A62" s="3" t="s">
        <v>499</v>
      </c>
      <c r="B62" s="3" t="s">
        <v>664</v>
      </c>
      <c r="C62" s="3" t="s">
        <v>500</v>
      </c>
      <c r="D62" s="3" t="s">
        <v>501</v>
      </c>
      <c r="E62" s="3" t="s">
        <v>502</v>
      </c>
      <c r="F62" s="3" t="n">
        <v>1</v>
      </c>
      <c r="G62" s="3" t="s">
        <v>454</v>
      </c>
      <c r="H62" s="3" t="s">
        <v>594</v>
      </c>
      <c r="I62" s="3"/>
    </row>
    <row r="63" customFormat="false" ht="23.25" hidden="false" customHeight="true" outlineLevel="0" collapsed="false">
      <c r="A63" s="3" t="s">
        <v>511</v>
      </c>
      <c r="B63" s="3" t="s">
        <v>664</v>
      </c>
      <c r="C63" s="3" t="s">
        <v>512</v>
      </c>
      <c r="D63" s="3" t="s">
        <v>165</v>
      </c>
      <c r="E63" s="3" t="s">
        <v>513</v>
      </c>
      <c r="F63" s="3" t="n">
        <v>1</v>
      </c>
      <c r="G63" s="3" t="s">
        <v>454</v>
      </c>
      <c r="H63" s="3" t="s">
        <v>594</v>
      </c>
      <c r="I63" s="3"/>
    </row>
    <row r="64" customFormat="false" ht="23.25" hidden="false" customHeight="true" outlineLevel="0" collapsed="false">
      <c r="A64" s="3" t="s">
        <v>522</v>
      </c>
      <c r="B64" s="3" t="s">
        <v>664</v>
      </c>
      <c r="C64" s="3" t="s">
        <v>523</v>
      </c>
      <c r="D64" s="3" t="s">
        <v>261</v>
      </c>
      <c r="E64" s="3" t="s">
        <v>524</v>
      </c>
      <c r="F64" s="3" t="n">
        <v>1</v>
      </c>
      <c r="G64" s="3" t="s">
        <v>454</v>
      </c>
      <c r="H64" s="3" t="s">
        <v>594</v>
      </c>
      <c r="I64" s="3"/>
    </row>
    <row r="65" customFormat="false" ht="45.75" hidden="false" customHeight="true" outlineLevel="0" collapsed="false">
      <c r="A65" s="3" t="s">
        <v>531</v>
      </c>
      <c r="B65" s="3" t="s">
        <v>664</v>
      </c>
      <c r="C65" s="3" t="s">
        <v>533</v>
      </c>
      <c r="D65" s="3" t="s">
        <v>534</v>
      </c>
      <c r="E65" s="3" t="s">
        <v>535</v>
      </c>
      <c r="F65" s="3" t="n">
        <v>1</v>
      </c>
      <c r="G65" s="3" t="s">
        <v>454</v>
      </c>
      <c r="H65" s="3" t="s">
        <v>594</v>
      </c>
      <c r="I65" s="3"/>
    </row>
    <row r="66" customFormat="false" ht="23.25" hidden="false" customHeight="true" outlineLevel="0" collapsed="false">
      <c r="A66" s="3" t="s">
        <v>544</v>
      </c>
      <c r="B66" s="3" t="s">
        <v>664</v>
      </c>
      <c r="C66" s="3" t="s">
        <v>546</v>
      </c>
      <c r="D66" s="3" t="s">
        <v>95</v>
      </c>
      <c r="E66" s="3" t="s">
        <v>547</v>
      </c>
      <c r="F66" s="3" t="n">
        <v>1</v>
      </c>
      <c r="G66" s="3" t="s">
        <v>454</v>
      </c>
      <c r="H66" s="3" t="s">
        <v>594</v>
      </c>
      <c r="I66" s="3"/>
    </row>
    <row r="67" customFormat="false" ht="23.25" hidden="false" customHeight="true" outlineLevel="0" collapsed="false">
      <c r="A67" s="3" t="s">
        <v>669</v>
      </c>
      <c r="B67" s="3" t="s">
        <v>664</v>
      </c>
      <c r="C67" s="3" t="s">
        <v>670</v>
      </c>
      <c r="D67" s="3" t="s">
        <v>387</v>
      </c>
      <c r="E67" s="3" t="s">
        <v>671</v>
      </c>
      <c r="F67" s="3" t="n">
        <v>1</v>
      </c>
      <c r="G67" s="3" t="s">
        <v>454</v>
      </c>
      <c r="H67" s="3" t="s">
        <v>598</v>
      </c>
      <c r="I67" s="3" t="s">
        <v>576</v>
      </c>
    </row>
    <row r="68" customFormat="false" ht="23.25" hidden="false" customHeight="true" outlineLevel="0" collapsed="false">
      <c r="A68" s="3" t="s">
        <v>672</v>
      </c>
      <c r="B68" s="3" t="s">
        <v>664</v>
      </c>
      <c r="C68" s="3" t="s">
        <v>673</v>
      </c>
      <c r="D68" s="3" t="s">
        <v>95</v>
      </c>
      <c r="E68" s="3" t="s">
        <v>674</v>
      </c>
      <c r="F68" s="3" t="n">
        <v>1</v>
      </c>
      <c r="G68" s="3" t="s">
        <v>454</v>
      </c>
      <c r="H68" s="3" t="s">
        <v>598</v>
      </c>
      <c r="I68" s="3" t="s">
        <v>577</v>
      </c>
    </row>
    <row r="69" customFormat="false" ht="23.25" hidden="false" customHeight="true" outlineLevel="0" collapsed="false">
      <c r="A69" s="3" t="s">
        <v>675</v>
      </c>
      <c r="B69" s="3" t="s">
        <v>664</v>
      </c>
      <c r="C69" s="3" t="s">
        <v>676</v>
      </c>
      <c r="D69" s="3" t="s">
        <v>95</v>
      </c>
      <c r="E69" s="3" t="s">
        <v>677</v>
      </c>
      <c r="F69" s="3" t="n">
        <v>1</v>
      </c>
      <c r="G69" s="3" t="s">
        <v>454</v>
      </c>
      <c r="H69" s="3" t="s">
        <v>598</v>
      </c>
      <c r="I69" s="3" t="s">
        <v>578</v>
      </c>
    </row>
    <row r="70" customFormat="false" ht="15" hidden="false" customHeight="true" outlineLevel="0" collapsed="false">
      <c r="A70" s="3" t="s">
        <v>678</v>
      </c>
      <c r="B70" s="3" t="s">
        <v>664</v>
      </c>
      <c r="C70" s="3" t="s">
        <v>679</v>
      </c>
      <c r="D70" s="3" t="s">
        <v>47</v>
      </c>
      <c r="E70" s="3" t="s">
        <v>680</v>
      </c>
      <c r="F70" s="3" t="n">
        <v>1</v>
      </c>
      <c r="G70" s="3" t="s">
        <v>454</v>
      </c>
      <c r="H70" s="3" t="s">
        <v>598</v>
      </c>
      <c r="I70" s="3" t="s">
        <v>575</v>
      </c>
    </row>
  </sheetData>
  <autoFilter ref="A1:I7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4"/>
    <col collapsed="false" customWidth="true" hidden="false" outlineLevel="0" max="3" min="3" style="1" width="80"/>
    <col collapsed="false" customWidth="true" hidden="false" outlineLevel="0" max="5" min="4" style="1" width="12"/>
    <col collapsed="false" customWidth="true" hidden="false" outlineLevel="0" max="6" min="6" style="1" width="60"/>
  </cols>
  <sheetData>
    <row r="1" customFormat="false" ht="31.5" hidden="false" customHeight="true" outlineLevel="0" collapsed="false">
      <c r="A1" s="2" t="s">
        <v>0</v>
      </c>
      <c r="B1" s="2" t="s">
        <v>681</v>
      </c>
      <c r="C1" s="2" t="s">
        <v>682</v>
      </c>
      <c r="D1" s="2" t="s">
        <v>683</v>
      </c>
      <c r="E1" s="2" t="s">
        <v>684</v>
      </c>
      <c r="F1" s="2" t="s">
        <v>685</v>
      </c>
    </row>
    <row r="2" customFormat="false" ht="15" hidden="false" customHeight="true" outlineLevel="0" collapsed="false">
      <c r="A2" s="3" t="s">
        <v>686</v>
      </c>
      <c r="B2" s="3" t="s">
        <v>593</v>
      </c>
      <c r="C2" s="3" t="s">
        <v>41</v>
      </c>
      <c r="D2" s="3" t="s">
        <v>687</v>
      </c>
      <c r="E2" s="3" t="n">
        <v>20</v>
      </c>
      <c r="F2" s="3" t="s">
        <v>688</v>
      </c>
    </row>
    <row r="3" customFormat="false" ht="15" hidden="false" customHeight="true" outlineLevel="0" collapsed="false">
      <c r="A3" s="3" t="s">
        <v>689</v>
      </c>
      <c r="B3" s="3" t="s">
        <v>593</v>
      </c>
      <c r="C3" s="3" t="s">
        <v>161</v>
      </c>
      <c r="D3" s="3" t="s">
        <v>687</v>
      </c>
      <c r="E3" s="3" t="n">
        <v>10</v>
      </c>
      <c r="F3" s="3" t="s">
        <v>688</v>
      </c>
    </row>
    <row r="4" customFormat="false" ht="15" hidden="false" customHeight="true" outlineLevel="0" collapsed="false">
      <c r="A4" s="3" t="s">
        <v>690</v>
      </c>
      <c r="B4" s="3" t="s">
        <v>593</v>
      </c>
      <c r="C4" s="3" t="s">
        <v>272</v>
      </c>
      <c r="D4" s="3" t="s">
        <v>687</v>
      </c>
      <c r="E4" s="3" t="n">
        <v>18</v>
      </c>
      <c r="F4" s="3" t="s">
        <v>688</v>
      </c>
    </row>
    <row r="5" customFormat="false" ht="15" hidden="false" customHeight="true" outlineLevel="0" collapsed="false">
      <c r="A5" s="3" t="s">
        <v>691</v>
      </c>
      <c r="B5" s="3" t="s">
        <v>593</v>
      </c>
      <c r="C5" s="3" t="s">
        <v>347</v>
      </c>
      <c r="D5" s="3" t="s">
        <v>687</v>
      </c>
      <c r="E5" s="3" t="n">
        <v>18</v>
      </c>
      <c r="F5" s="3" t="s">
        <v>688</v>
      </c>
    </row>
    <row r="6" customFormat="false" ht="23.25" hidden="false" customHeight="true" outlineLevel="0" collapsed="false">
      <c r="A6" s="3" t="s">
        <v>692</v>
      </c>
      <c r="B6" s="3" t="s">
        <v>664</v>
      </c>
      <c r="C6" s="3" t="s">
        <v>693</v>
      </c>
      <c r="D6" s="3" t="s">
        <v>687</v>
      </c>
      <c r="E6" s="3"/>
      <c r="F6" s="3" t="s">
        <v>694</v>
      </c>
    </row>
    <row r="7" customFormat="false" ht="23.25" hidden="false" customHeight="true" outlineLevel="0" collapsed="false">
      <c r="A7" s="3" t="s">
        <v>695</v>
      </c>
      <c r="B7" s="3" t="s">
        <v>664</v>
      </c>
      <c r="C7" s="3" t="s">
        <v>696</v>
      </c>
      <c r="D7" s="3" t="s">
        <v>687</v>
      </c>
      <c r="E7" s="3"/>
      <c r="F7" s="3" t="s">
        <v>694</v>
      </c>
    </row>
    <row r="8" customFormat="false" ht="23.25" hidden="false" customHeight="true" outlineLevel="0" collapsed="false">
      <c r="A8" s="3" t="s">
        <v>697</v>
      </c>
      <c r="B8" s="3" t="s">
        <v>664</v>
      </c>
      <c r="C8" s="3" t="s">
        <v>698</v>
      </c>
      <c r="D8" s="3" t="s">
        <v>687</v>
      </c>
      <c r="E8" s="3"/>
      <c r="F8" s="3" t="s">
        <v>694</v>
      </c>
    </row>
    <row r="9" customFormat="false" ht="23.25" hidden="false" customHeight="true" outlineLevel="0" collapsed="false">
      <c r="A9" s="3" t="s">
        <v>699</v>
      </c>
      <c r="B9" s="3" t="s">
        <v>664</v>
      </c>
      <c r="C9" s="3" t="s">
        <v>700</v>
      </c>
      <c r="D9" s="3" t="s">
        <v>687</v>
      </c>
      <c r="E9" s="3"/>
      <c r="F9" s="3" t="s">
        <v>694</v>
      </c>
    </row>
    <row r="10" customFormat="false" ht="23.25" hidden="false" customHeight="true" outlineLevel="0" collapsed="false">
      <c r="A10" s="3" t="s">
        <v>701</v>
      </c>
      <c r="B10" s="3" t="s">
        <v>664</v>
      </c>
      <c r="C10" s="3" t="s">
        <v>702</v>
      </c>
      <c r="D10" s="3" t="s">
        <v>687</v>
      </c>
      <c r="E10" s="3"/>
      <c r="F10" s="3" t="s">
        <v>694</v>
      </c>
    </row>
    <row r="11" customFormat="false" ht="23.25" hidden="false" customHeight="true" outlineLevel="0" collapsed="false">
      <c r="A11" s="3" t="s">
        <v>703</v>
      </c>
      <c r="B11" s="3" t="s">
        <v>664</v>
      </c>
      <c r="C11" s="3" t="s">
        <v>704</v>
      </c>
      <c r="D11" s="3" t="s">
        <v>687</v>
      </c>
      <c r="E11" s="3"/>
      <c r="F11" s="3" t="s">
        <v>694</v>
      </c>
    </row>
  </sheetData>
  <autoFilter ref="A1:F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2026-10-08T01:57:40Z</dcterms:created>
  <dc:creator>openpyxl</dc:creator>
  <dc:description/>
  <dc:language>en-US</dc:language>
  <cp:lastModifiedBy/>
  <dcterms:modified xsi:type="dcterms:W3CDTF">2026-10-21T12:23:52Z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