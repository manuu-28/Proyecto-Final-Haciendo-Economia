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8_{2F0AD432-7098-42C3-9EE2-D5707A419B90}" xr6:coauthVersionLast="47" xr6:coauthVersionMax="47" xr10:uidLastSave="{00000000-0000-0000-0000-000000000000}"/>
  <bookViews>
    <workbookView xWindow="-120" yWindow="-120" windowWidth="20730" windowHeight="11040" tabRatio="500" activeTab="5" xr2:uid="{00000000-000D-0000-FFFF-FFFF00000000}"/>
  </bookViews>
  <sheets>
    <sheet name="Leeme" sheetId="1" r:id="rId1"/>
    <sheet name="Datos" sheetId="2" r:id="rId2"/>
    <sheet name="Conteo" sheetId="3" r:id="rId3"/>
    <sheet name="Listas" sheetId="4" state="hidden" r:id="rId4"/>
    <sheet name="Diccionario" sheetId="5" r:id="rId5"/>
    <sheet name="Cafeteria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3" l="1"/>
  <c r="B20" i="3" s="1"/>
  <c r="F16" i="3"/>
  <c r="E16" i="3"/>
  <c r="D16" i="3"/>
  <c r="C16" i="3"/>
  <c r="G16" i="3" s="1"/>
  <c r="F15" i="3"/>
  <c r="E15" i="3"/>
  <c r="D15" i="3"/>
  <c r="C15" i="3"/>
  <c r="G15" i="3" s="1"/>
  <c r="F14" i="3"/>
  <c r="E14" i="3"/>
  <c r="D14" i="3"/>
  <c r="C14" i="3"/>
  <c r="G14" i="3" s="1"/>
  <c r="F13" i="3"/>
  <c r="E13" i="3"/>
  <c r="D13" i="3"/>
  <c r="C13" i="3"/>
  <c r="G13" i="3" s="1"/>
  <c r="F12" i="3"/>
  <c r="E12" i="3"/>
  <c r="D12" i="3"/>
  <c r="C12" i="3"/>
  <c r="G12" i="3" s="1"/>
  <c r="F11" i="3"/>
  <c r="E11" i="3"/>
  <c r="D11" i="3"/>
  <c r="C11" i="3"/>
  <c r="G11" i="3" s="1"/>
  <c r="F10" i="3"/>
  <c r="E10" i="3"/>
  <c r="D10" i="3"/>
  <c r="C10" i="3"/>
  <c r="G10" i="3" s="1"/>
  <c r="G9" i="3"/>
  <c r="F9" i="3"/>
  <c r="E9" i="3"/>
  <c r="D9" i="3"/>
  <c r="C9" i="3"/>
  <c r="D6" i="3"/>
  <c r="C5" i="3"/>
  <c r="E5" i="3" s="1"/>
  <c r="C4" i="3"/>
  <c r="E4" i="3" s="1"/>
  <c r="C3" i="3"/>
  <c r="C6" i="3" l="1"/>
  <c r="B19" i="3" s="1"/>
  <c r="E3" i="3"/>
  <c r="E6" i="3" s="1"/>
</calcChain>
</file>

<file path=xl/sharedStrings.xml><?xml version="1.0" encoding="utf-8"?>
<sst xmlns="http://schemas.openxmlformats.org/spreadsheetml/2006/main" count="401" uniqueCount="195">
  <si>
    <t>Base de recolección de la encuesta de café de especialidad (Entrega 3b).</t>
  </si>
  <si>
    <t>Datos: una fila por encuesta. Escriba o elija de la lista desplegable; no cambie los nombres de las columnas.</t>
  </si>
  <si>
    <t>Fila 2: ejemplo con valores inventados (id EJEMPLO). Puede borrarla; el conteo no la tiene en cuenta.</t>
  </si>
  <si>
    <t>Diccionario: la pregunta del cuestionario que corresponde a cada columna y sus opciones.</t>
  </si>
  <si>
    <t>Conteo: avance del trabajo de campo frente a las metas (56 encuestas por grupo de edad y 7 por cafetería y franja). Se actualiza solo.</t>
  </si>
  <si>
    <t>Cafeterias: identificadores y direcciones de las tiendas de la zona.</t>
  </si>
  <si>
    <t>Si una persona no acepta participar o es menor de edad, se registra solo el id, la cafetería, la fecha, la franja y la respuesta de consentimiento o edad.</t>
  </si>
  <si>
    <t>No se escribe ningún dato que identifique a la persona: ni nombre, ni teléfono, ni correo.</t>
  </si>
  <si>
    <t>id_encuesta</t>
  </si>
  <si>
    <t>id_cafeteria</t>
  </si>
  <si>
    <t>fecha</t>
  </si>
  <si>
    <t>franja</t>
  </si>
  <si>
    <t>encuestador</t>
  </si>
  <si>
    <t>consentimiento</t>
  </si>
  <si>
    <t>mayor_18</t>
  </si>
  <si>
    <t>p1_motivo</t>
  </si>
  <si>
    <t>p1_otro</t>
  </si>
  <si>
    <t>p2_compania</t>
  </si>
  <si>
    <t>p3_permanencia</t>
  </si>
  <si>
    <t>p4_cafe</t>
  </si>
  <si>
    <t>p4_otra_bebida</t>
  </si>
  <si>
    <t>p4_comida</t>
  </si>
  <si>
    <t>p4_grano</t>
  </si>
  <si>
    <t>p5_gasto_hoy</t>
  </si>
  <si>
    <t>p6_visitas_mes</t>
  </si>
  <si>
    <t>p7_visitas_zona</t>
  </si>
  <si>
    <t>p8_tazas_dia</t>
  </si>
  <si>
    <t>p9_dap</t>
  </si>
  <si>
    <t>p10a_calidad</t>
  </si>
  <si>
    <t>p10b_barista</t>
  </si>
  <si>
    <t>p10c_ambiente</t>
  </si>
  <si>
    <t>p10d_wifi</t>
  </si>
  <si>
    <t>p10e_espacio</t>
  </si>
  <si>
    <t>p10f_tranquilidad</t>
  </si>
  <si>
    <t>p10g_precio</t>
  </si>
  <si>
    <t>p10h_cercania</t>
  </si>
  <si>
    <t>p11_edad</t>
  </si>
  <si>
    <t>p12_ocupacion</t>
  </si>
  <si>
    <t>p13_estrato</t>
  </si>
  <si>
    <t>p14_relacion_zona</t>
  </si>
  <si>
    <t>observaciones</t>
  </si>
  <si>
    <t>EJEMPLO</t>
  </si>
  <si>
    <t>C08</t>
  </si>
  <si>
    <t>2026-11-03</t>
  </si>
  <si>
    <t>Mediodía laboral</t>
  </si>
  <si>
    <t>SV</t>
  </si>
  <si>
    <t>Sí</t>
  </si>
  <si>
    <t>Disfrutar un buen café</t>
  </si>
  <si>
    <t>Solo</t>
  </si>
  <si>
    <t>30 a 60 min</t>
  </si>
  <si>
    <t>No</t>
  </si>
  <si>
    <t>5</t>
  </si>
  <si>
    <t>4</t>
  </si>
  <si>
    <t>2</t>
  </si>
  <si>
    <t>3</t>
  </si>
  <si>
    <t>30 a 37</t>
  </si>
  <si>
    <t>Empleado</t>
  </si>
  <si>
    <t>Trabaja o estudia aquí</t>
  </si>
  <si>
    <t>Fila de ejemplo: bórrela o déjela, el conteo la ignora</t>
  </si>
  <si>
    <t>Avance por grupo de edad</t>
  </si>
  <si>
    <t>Grupo de edad</t>
  </si>
  <si>
    <t>Rangos</t>
  </si>
  <si>
    <t>Encuestas</t>
  </si>
  <si>
    <t>Meta</t>
  </si>
  <si>
    <t>Faltan</t>
  </si>
  <si>
    <t>Jóvenes</t>
  </si>
  <si>
    <t>18 a 24 y 25 a 29</t>
  </si>
  <si>
    <t>Adultos</t>
  </si>
  <si>
    <t>30 a 37 y 38 a 45</t>
  </si>
  <si>
    <t>Mayores</t>
  </si>
  <si>
    <t>46 a 55 y 56 o más</t>
  </si>
  <si>
    <t>Total</t>
  </si>
  <si>
    <t>Encuestas por cafetería y franja (meta: 7 por sesión)</t>
  </si>
  <si>
    <t>Cafetería</t>
  </si>
  <si>
    <t>Nombre</t>
  </si>
  <si>
    <t>Mañana laboral</t>
  </si>
  <si>
    <t>Tarde laboral</t>
  </si>
  <si>
    <t>Sábado</t>
  </si>
  <si>
    <t>C01</t>
  </si>
  <si>
    <t>Azahar Café 93</t>
  </si>
  <si>
    <t>C02</t>
  </si>
  <si>
    <t>Azahar Café Nogal</t>
  </si>
  <si>
    <t>C03</t>
  </si>
  <si>
    <t>Café 18 Chicó</t>
  </si>
  <si>
    <t>C04</t>
  </si>
  <si>
    <t>Café 18 Nogal</t>
  </si>
  <si>
    <t>C05</t>
  </si>
  <si>
    <t>Colo Coffee Zona T</t>
  </si>
  <si>
    <t>C07</t>
  </si>
  <si>
    <t>Libertario Coffee Roasters</t>
  </si>
  <si>
    <t>Tropicália Coffee</t>
  </si>
  <si>
    <t>C09</t>
  </si>
  <si>
    <t>Haba Tonka</t>
  </si>
  <si>
    <t>Tasa de respuesta</t>
  </si>
  <si>
    <t>Personas abordadas</t>
  </si>
  <si>
    <t>Aceptaron y son mayores de edad</t>
  </si>
  <si>
    <t>Socializar</t>
  </si>
  <si>
    <t>Para llevar</t>
  </si>
  <si>
    <t>1</t>
  </si>
  <si>
    <t>18 a 24</t>
  </si>
  <si>
    <t>Estudiante</t>
  </si>
  <si>
    <t>Vive aquí</t>
  </si>
  <si>
    <t>Estudiar o trabajar</t>
  </si>
  <si>
    <t>Amigos</t>
  </si>
  <si>
    <t>Menos de 30 min</t>
  </si>
  <si>
    <t>25 a 29</t>
  </si>
  <si>
    <t>Pareja o familia</t>
  </si>
  <si>
    <t>Independiente</t>
  </si>
  <si>
    <t>Ambas</t>
  </si>
  <si>
    <t>De paso o por practicidad</t>
  </si>
  <si>
    <t>Compañeros de trabajo o estudio</t>
  </si>
  <si>
    <t>1 a 2 horas</t>
  </si>
  <si>
    <t>38 a 45</t>
  </si>
  <si>
    <t>Hogar</t>
  </si>
  <si>
    <t>Solo de visita</t>
  </si>
  <si>
    <t>Reunión de trabajo</t>
  </si>
  <si>
    <t>Más de 2 horas</t>
  </si>
  <si>
    <t>46 a 55</t>
  </si>
  <si>
    <t>Pensionado</t>
  </si>
  <si>
    <t>C06</t>
  </si>
  <si>
    <t>Otro</t>
  </si>
  <si>
    <t>56 o más</t>
  </si>
  <si>
    <t>Otra</t>
  </si>
  <si>
    <t>6</t>
  </si>
  <si>
    <t>Prefiero no responder</t>
  </si>
  <si>
    <t>columna</t>
  </si>
  <si>
    <t>pregunta del cuestionario</t>
  </si>
  <si>
    <t>tipo</t>
  </si>
  <si>
    <t>opciones</t>
  </si>
  <si>
    <t>ID de la encuesta (E001, E002, ...)</t>
  </si>
  <si>
    <t>Texto</t>
  </si>
  <si>
    <t>ID de la cafetería</t>
  </si>
  <si>
    <t>Lista</t>
  </si>
  <si>
    <t>C01 · C02 · C03 · C04 · C05 · C06 · C07 · C08 · C09</t>
  </si>
  <si>
    <t>Fecha</t>
  </si>
  <si>
    <t>Fecha (AAAA-MM-DD)</t>
  </si>
  <si>
    <t>Franja horaria</t>
  </si>
  <si>
    <t>Mañana laboral · Mediodía laboral · Tarde laboral · Sábado</t>
  </si>
  <si>
    <t>Iniciales del encuestador</t>
  </si>
  <si>
    <t>¿Acepta participar?</t>
  </si>
  <si>
    <t>Sí · No</t>
  </si>
  <si>
    <t>¿Tiene 18 años o más?</t>
  </si>
  <si>
    <t>1. Motivo principal de la visita</t>
  </si>
  <si>
    <t>Socializar · Estudiar o trabajar · Disfrutar un buen café · De paso o por practicidad · Reunión de trabajo · Otro</t>
  </si>
  <si>
    <t>1. Otro motivo (cuál)</t>
  </si>
  <si>
    <t>2. ¿Con quién vino?</t>
  </si>
  <si>
    <t>Solo · Amigos · Pareja o familia · Compañeros de trabajo o estudio</t>
  </si>
  <si>
    <t>3. Tiempo que piensa quedarse</t>
  </si>
  <si>
    <t>Para llevar · Menos de 30 min · 30 a 60 min · 1 a 2 horas · Más de 2 horas</t>
  </si>
  <si>
    <t>4. Compró bebida de café</t>
  </si>
  <si>
    <t>4. Compró otra bebida</t>
  </si>
  <si>
    <t>4. Compró comida</t>
  </si>
  <si>
    <t>4. Compró café en grano o molido</t>
  </si>
  <si>
    <t>5. Gasto total de la visita (pesos)</t>
  </si>
  <si>
    <t>Número entero</t>
  </si>
  <si>
    <t>6. Visitas a cafeterías de especialidad en 30 días</t>
  </si>
  <si>
    <t>7. De esas, visitas en esta zona</t>
  </si>
  <si>
    <t>8. Tazas de café al día</t>
  </si>
  <si>
    <t>Número</t>
  </si>
  <si>
    <t>9. Máximo que pagaría por una taza (pesos)</t>
  </si>
  <si>
    <t>10a. Importancia: Calidad del café (1 a 5)</t>
  </si>
  <si>
    <t>Escala 1 a 5</t>
  </si>
  <si>
    <t>1 · 2 · 3 · 4 · 5</t>
  </si>
  <si>
    <t>10b. Importancia: Conocimiento y servicio del barista (1 a 5)</t>
  </si>
  <si>
    <t>10c. Importancia: Ambiente y estética (1 a 5)</t>
  </si>
  <si>
    <t>10d. Importancia: WiFi y enchufes (1 a 5)</t>
  </si>
  <si>
    <t>10e. Importancia: Espacio para quedarse (1 a 5)</t>
  </si>
  <si>
    <t>10f. Importancia: Tranquilidad (1 a 5)</t>
  </si>
  <si>
    <t>10g. Importancia: Precio (1 a 5)</t>
  </si>
  <si>
    <t>10h. Importancia: Cercanía a casa o trabajo (1 a 5)</t>
  </si>
  <si>
    <t>11. Rango de edad</t>
  </si>
  <si>
    <t>18 a 24 · 25 a 29 · 30 a 37 · 38 a 45 · 46 a 55 · 56 o más</t>
  </si>
  <si>
    <t>12. Ocupación principal</t>
  </si>
  <si>
    <t>Estudiante · Empleado · Independiente · Hogar · Pensionado · Otra</t>
  </si>
  <si>
    <t>13. Estrato (opcional)</t>
  </si>
  <si>
    <t>1 · 2 · 3 · 4 · 5 · 6 · Prefiero no responder</t>
  </si>
  <si>
    <t>14. Relación con la zona</t>
  </si>
  <si>
    <t>Vive aquí · Trabaja o estudia aquí · Ambas · Solo de visita</t>
  </si>
  <si>
    <t>Observaciones del encuestador</t>
  </si>
  <si>
    <t>id</t>
  </si>
  <si>
    <t>nombre</t>
  </si>
  <si>
    <t>direccion</t>
  </si>
  <si>
    <t>subzona</t>
  </si>
  <si>
    <t>Calle 93B # 13-91</t>
  </si>
  <si>
    <t>Parque 93 y Chicó</t>
  </si>
  <si>
    <t>Carrera 9 # 79A-23</t>
  </si>
  <si>
    <t>Zona T y El Nogal</t>
  </si>
  <si>
    <t>Carrera 11B # 96-54</t>
  </si>
  <si>
    <t>Carrera 9 # 78-31</t>
  </si>
  <si>
    <t>Carrera 12A # 83-48</t>
  </si>
  <si>
    <t>Colo Coffee para llevar</t>
  </si>
  <si>
    <t>Carrera 7 # 84A-29</t>
  </si>
  <si>
    <t>Carrera 13 # 85-13</t>
  </si>
  <si>
    <t>Calle 81A # 8-23</t>
  </si>
  <si>
    <t>Carrera 14 # 77-30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</si>
</sst>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F8C6C"/>
        <bgColor rgb="FF0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2" fillId="0" borderId="0" xfId="0" applyNumberFormat="1" applyFont="1"/>
    <xf numFmtId="0" fontId="2" fillId="0" borderId="1" xfId="0" applyFont="1" applyBorder="1" applyAlignment="1">
      <alignment vertical="top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C6C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zoomScaleNormal="100" workbookViewId="0"/>
  </sheetViews>
  <sheetFormatPr defaultColWidth="8.7109375" defaultRowHeight="15" x14ac:dyDescent="0.25"/>
  <cols>
    <col min="1" max="1" width="120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ht="26.25" x14ac:dyDescent="0.25">
      <c r="A7" s="2" t="s">
        <v>6</v>
      </c>
    </row>
    <row r="8" spans="1:1" x14ac:dyDescent="0.25">
      <c r="A8" s="2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4" customWidth="1"/>
    <col min="2" max="2" width="15" customWidth="1"/>
    <col min="3" max="4" width="12" customWidth="1"/>
    <col min="5" max="5" width="14" customWidth="1"/>
    <col min="6" max="6" width="17" customWidth="1"/>
    <col min="7" max="9" width="12" customWidth="1"/>
    <col min="10" max="10" width="14" customWidth="1"/>
    <col min="11" max="11" width="17" customWidth="1"/>
    <col min="12" max="12" width="12" customWidth="1"/>
    <col min="13" max="13" width="17" customWidth="1"/>
    <col min="14" max="15" width="12" customWidth="1"/>
    <col min="16" max="16" width="15" customWidth="1"/>
    <col min="17" max="17" width="17" customWidth="1"/>
    <col min="18" max="18" width="18" customWidth="1"/>
    <col min="19" max="19" width="15" customWidth="1"/>
    <col min="20" max="20" width="12" customWidth="1"/>
    <col min="21" max="22" width="15" customWidth="1"/>
    <col min="23" max="23" width="16" customWidth="1"/>
    <col min="24" max="24" width="12" customWidth="1"/>
    <col min="25" max="25" width="15" customWidth="1"/>
    <col min="26" max="26" width="20" customWidth="1"/>
    <col min="27" max="27" width="14" customWidth="1"/>
    <col min="28" max="28" width="16" customWidth="1"/>
    <col min="29" max="29" width="12" customWidth="1"/>
    <col min="30" max="30" width="16" customWidth="1"/>
    <col min="31" max="31" width="14" customWidth="1"/>
    <col min="32" max="32" width="20" customWidth="1"/>
    <col min="33" max="33" width="16" customWidth="1"/>
  </cols>
  <sheetData>
    <row r="1" spans="1:33" ht="30" customHeigh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</row>
    <row r="2" spans="1:33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46</v>
      </c>
      <c r="H2" s="4" t="s">
        <v>47</v>
      </c>
      <c r="I2" s="4"/>
      <c r="J2" s="4" t="s">
        <v>48</v>
      </c>
      <c r="K2" s="4" t="s">
        <v>49</v>
      </c>
      <c r="L2" s="4" t="s">
        <v>46</v>
      </c>
      <c r="M2" s="4" t="s">
        <v>50</v>
      </c>
      <c r="N2" s="4" t="s">
        <v>46</v>
      </c>
      <c r="O2" s="4" t="s">
        <v>50</v>
      </c>
      <c r="P2" s="4">
        <v>23000</v>
      </c>
      <c r="Q2" s="4">
        <v>6</v>
      </c>
      <c r="R2" s="4">
        <v>4</v>
      </c>
      <c r="S2" s="4">
        <v>2</v>
      </c>
      <c r="T2" s="4">
        <v>16000</v>
      </c>
      <c r="U2" s="4" t="s">
        <v>51</v>
      </c>
      <c r="V2" s="4" t="s">
        <v>52</v>
      </c>
      <c r="W2" s="4" t="s">
        <v>52</v>
      </c>
      <c r="X2" s="4" t="s">
        <v>53</v>
      </c>
      <c r="Y2" s="4" t="s">
        <v>53</v>
      </c>
      <c r="Z2" s="4" t="s">
        <v>52</v>
      </c>
      <c r="AA2" s="4" t="s">
        <v>54</v>
      </c>
      <c r="AB2" s="4" t="s">
        <v>54</v>
      </c>
      <c r="AC2" s="4" t="s">
        <v>55</v>
      </c>
      <c r="AD2" s="4" t="s">
        <v>56</v>
      </c>
      <c r="AE2" s="4" t="s">
        <v>52</v>
      </c>
      <c r="AF2" s="4" t="s">
        <v>57</v>
      </c>
      <c r="AG2" s="4" t="s">
        <v>58</v>
      </c>
    </row>
  </sheetData>
  <dataValidations count="2">
    <dataValidation type="whole" operator="greaterThanOrEqual" allowBlank="1" showErrorMessage="1" error="Escriba un número sin puntos ni signos" sqref="P2:R600 T2:T600" xr:uid="{00000000-0002-0000-0100-00000B000000}">
      <formula1>0</formula1>
      <formula2>0</formula2>
    </dataValidation>
    <dataValidation type="decimal" operator="greaterThanOrEqual" allowBlank="1" showErrorMessage="1" error="Escriba un número sin puntos ni signos" sqref="S2:S600" xr:uid="{00000000-0002-0000-0100-00000C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ErrorMessage="1" errorTitle="Valor no válido" error="Elija una opción de la lista" xr:uid="{00000000-0002-0000-0100-000000000000}">
          <x14:formula1>
            <xm:f>Listas!$A$2:$A$10</xm:f>
          </x14:formula1>
          <x14:formula2>
            <xm:f>0</xm:f>
          </x14:formula2>
          <xm:sqref>B2:B600</xm:sqref>
        </x14:dataValidation>
        <x14:dataValidation type="list" allowBlank="1" showErrorMessage="1" errorTitle="Valor no válido" error="Elija una opción de la lista" xr:uid="{00000000-0002-0000-0100-000001000000}">
          <x14:formula1>
            <xm:f>Listas!$B$2:$B$5</xm:f>
          </x14:formula1>
          <x14:formula2>
            <xm:f>0</xm:f>
          </x14:formula2>
          <xm:sqref>D2:D600</xm:sqref>
        </x14:dataValidation>
        <x14:dataValidation type="list" allowBlank="1" showErrorMessage="1" errorTitle="Valor no válido" error="Elija una opción de la lista" xr:uid="{00000000-0002-0000-0100-000002000000}">
          <x14:formula1>
            <xm:f>Listas!$C$2:$C$3</xm:f>
          </x14:formula1>
          <x14:formula2>
            <xm:f>0</xm:f>
          </x14:formula2>
          <xm:sqref>F2:F600</xm:sqref>
        </x14:dataValidation>
        <x14:dataValidation type="list" allowBlank="1" showErrorMessage="1" errorTitle="Valor no válido" error="Elija una opción de la lista" xr:uid="{00000000-0002-0000-0100-000003000000}">
          <x14:formula1>
            <xm:f>Listas!$D$2:$D$3</xm:f>
          </x14:formula1>
          <x14:formula2>
            <xm:f>0</xm:f>
          </x14:formula2>
          <xm:sqref>G2:G600</xm:sqref>
        </x14:dataValidation>
        <x14:dataValidation type="list" allowBlank="1" showErrorMessage="1" errorTitle="Valor no válido" error="Elija una opción de la lista" xr:uid="{00000000-0002-0000-0100-000004000000}">
          <x14:formula1>
            <xm:f>Listas!$E$2:$E$7</xm:f>
          </x14:formula1>
          <x14:formula2>
            <xm:f>0</xm:f>
          </x14:formula2>
          <xm:sqref>H2:H600</xm:sqref>
        </x14:dataValidation>
        <x14:dataValidation type="list" allowBlank="1" showErrorMessage="1" errorTitle="Valor no válido" error="Elija una opción de la lista" xr:uid="{00000000-0002-0000-0100-000005000000}">
          <x14:formula1>
            <xm:f>Listas!$F$2:$F$5</xm:f>
          </x14:formula1>
          <x14:formula2>
            <xm:f>0</xm:f>
          </x14:formula2>
          <xm:sqref>J2:J600</xm:sqref>
        </x14:dataValidation>
        <x14:dataValidation type="list" allowBlank="1" showErrorMessage="1" errorTitle="Valor no válido" error="Elija una opción de la lista" xr:uid="{00000000-0002-0000-0100-000006000000}">
          <x14:formula1>
            <xm:f>Listas!$G$2:$G$6</xm:f>
          </x14:formula1>
          <x14:formula2>
            <xm:f>0</xm:f>
          </x14:formula2>
          <xm:sqref>K2:K600</xm:sqref>
        </x14:dataValidation>
        <x14:dataValidation type="list" allowBlank="1" showErrorMessage="1" errorTitle="Valor no válido" error="Elija una opción de la lista" xr:uid="{00000000-0002-0000-0100-000007000000}">
          <x14:formula1>
            <xm:f>Listas!$H$2:$H$3</xm:f>
          </x14:formula1>
          <x14:formula2>
            <xm:f>0</xm:f>
          </x14:formula2>
          <xm:sqref>L2:L600</xm:sqref>
        </x14:dataValidation>
        <x14:dataValidation type="list" allowBlank="1" showErrorMessage="1" errorTitle="Valor no válido" error="Elija una opción de la lista" xr:uid="{00000000-0002-0000-0100-000008000000}">
          <x14:formula1>
            <xm:f>Listas!$I$2:$I$3</xm:f>
          </x14:formula1>
          <x14:formula2>
            <xm:f>0</xm:f>
          </x14:formula2>
          <xm:sqref>M2:M600</xm:sqref>
        </x14:dataValidation>
        <x14:dataValidation type="list" allowBlank="1" showErrorMessage="1" errorTitle="Valor no válido" error="Elija una opción de la lista" xr:uid="{00000000-0002-0000-0100-000009000000}">
          <x14:formula1>
            <xm:f>Listas!$J$2:$J$3</xm:f>
          </x14:formula1>
          <x14:formula2>
            <xm:f>0</xm:f>
          </x14:formula2>
          <xm:sqref>N2:N600</xm:sqref>
        </x14:dataValidation>
        <x14:dataValidation type="list" allowBlank="1" showErrorMessage="1" errorTitle="Valor no válido" error="Elija una opción de la lista" xr:uid="{00000000-0002-0000-0100-00000A000000}">
          <x14:formula1>
            <xm:f>Listas!$K$2:$K$3</xm:f>
          </x14:formula1>
          <x14:formula2>
            <xm:f>0</xm:f>
          </x14:formula2>
          <xm:sqref>O2:O600</xm:sqref>
        </x14:dataValidation>
        <x14:dataValidation type="list" allowBlank="1" showErrorMessage="1" errorTitle="Valor no válido" error="Elija una opción de la lista" xr:uid="{00000000-0002-0000-0100-00000D000000}">
          <x14:formula1>
            <xm:f>Listas!$L$2:$L$6</xm:f>
          </x14:formula1>
          <x14:formula2>
            <xm:f>0</xm:f>
          </x14:formula2>
          <xm:sqref>U2:U600</xm:sqref>
        </x14:dataValidation>
        <x14:dataValidation type="list" allowBlank="1" showErrorMessage="1" errorTitle="Valor no válido" error="Elija una opción de la lista" xr:uid="{00000000-0002-0000-0100-00000E000000}">
          <x14:formula1>
            <xm:f>Listas!$M$2:$M$6</xm:f>
          </x14:formula1>
          <x14:formula2>
            <xm:f>0</xm:f>
          </x14:formula2>
          <xm:sqref>V2:V600</xm:sqref>
        </x14:dataValidation>
        <x14:dataValidation type="list" allowBlank="1" showErrorMessage="1" errorTitle="Valor no válido" error="Elija una opción de la lista" xr:uid="{00000000-0002-0000-0100-00000F000000}">
          <x14:formula1>
            <xm:f>Listas!$N$2:$N$6</xm:f>
          </x14:formula1>
          <x14:formula2>
            <xm:f>0</xm:f>
          </x14:formula2>
          <xm:sqref>W2:W600</xm:sqref>
        </x14:dataValidation>
        <x14:dataValidation type="list" allowBlank="1" showErrorMessage="1" errorTitle="Valor no válido" error="Elija una opción de la lista" xr:uid="{00000000-0002-0000-0100-000010000000}">
          <x14:formula1>
            <xm:f>Listas!$O$2:$O$6</xm:f>
          </x14:formula1>
          <x14:formula2>
            <xm:f>0</xm:f>
          </x14:formula2>
          <xm:sqref>X2:X600</xm:sqref>
        </x14:dataValidation>
        <x14:dataValidation type="list" allowBlank="1" showErrorMessage="1" errorTitle="Valor no válido" error="Elija una opción de la lista" xr:uid="{00000000-0002-0000-0100-000011000000}">
          <x14:formula1>
            <xm:f>Listas!$P$2:$P$6</xm:f>
          </x14:formula1>
          <x14:formula2>
            <xm:f>0</xm:f>
          </x14:formula2>
          <xm:sqref>Y2:Y600</xm:sqref>
        </x14:dataValidation>
        <x14:dataValidation type="list" allowBlank="1" showErrorMessage="1" errorTitle="Valor no válido" error="Elija una opción de la lista" xr:uid="{00000000-0002-0000-0100-000012000000}">
          <x14:formula1>
            <xm:f>Listas!$Q$2:$Q$6</xm:f>
          </x14:formula1>
          <x14:formula2>
            <xm:f>0</xm:f>
          </x14:formula2>
          <xm:sqref>Z2:Z600</xm:sqref>
        </x14:dataValidation>
        <x14:dataValidation type="list" allowBlank="1" showErrorMessage="1" errorTitle="Valor no válido" error="Elija una opción de la lista" xr:uid="{00000000-0002-0000-0100-000013000000}">
          <x14:formula1>
            <xm:f>Listas!$R$2:$R$6</xm:f>
          </x14:formula1>
          <x14:formula2>
            <xm:f>0</xm:f>
          </x14:formula2>
          <xm:sqref>AA2:AA600</xm:sqref>
        </x14:dataValidation>
        <x14:dataValidation type="list" allowBlank="1" showErrorMessage="1" errorTitle="Valor no válido" error="Elija una opción de la lista" xr:uid="{00000000-0002-0000-0100-000014000000}">
          <x14:formula1>
            <xm:f>Listas!$S$2:$S$6</xm:f>
          </x14:formula1>
          <x14:formula2>
            <xm:f>0</xm:f>
          </x14:formula2>
          <xm:sqref>AB2:AB600</xm:sqref>
        </x14:dataValidation>
        <x14:dataValidation type="list" allowBlank="1" showErrorMessage="1" errorTitle="Valor no válido" error="Elija una opción de la lista" xr:uid="{00000000-0002-0000-0100-000015000000}">
          <x14:formula1>
            <xm:f>Listas!$T$2:$T$7</xm:f>
          </x14:formula1>
          <x14:formula2>
            <xm:f>0</xm:f>
          </x14:formula2>
          <xm:sqref>AC2:AC600</xm:sqref>
        </x14:dataValidation>
        <x14:dataValidation type="list" allowBlank="1" showErrorMessage="1" errorTitle="Valor no válido" error="Elija una opción de la lista" xr:uid="{00000000-0002-0000-0100-000016000000}">
          <x14:formula1>
            <xm:f>Listas!$U$2:$U$7</xm:f>
          </x14:formula1>
          <x14:formula2>
            <xm:f>0</xm:f>
          </x14:formula2>
          <xm:sqref>AD2:AD600</xm:sqref>
        </x14:dataValidation>
        <x14:dataValidation type="list" allowBlank="1" showErrorMessage="1" errorTitle="Valor no válido" error="Elija una opción de la lista" xr:uid="{00000000-0002-0000-0100-000017000000}">
          <x14:formula1>
            <xm:f>Listas!$V$2:$V$8</xm:f>
          </x14:formula1>
          <x14:formula2>
            <xm:f>0</xm:f>
          </x14:formula2>
          <xm:sqref>AE2:AE600</xm:sqref>
        </x14:dataValidation>
        <x14:dataValidation type="list" allowBlank="1" showErrorMessage="1" errorTitle="Valor no válido" error="Elija una opción de la lista" xr:uid="{00000000-0002-0000-0100-000018000000}">
          <x14:formula1>
            <xm:f>Listas!$W$2:$W$5</xm:f>
          </x14:formula1>
          <x14:formula2>
            <xm:f>0</xm:f>
          </x14:formula2>
          <xm:sqref>AF2:AF600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28" customWidth="1"/>
    <col min="3" max="6" width="18" customWidth="1"/>
    <col min="7" max="7" width="10" customWidth="1"/>
  </cols>
  <sheetData>
    <row r="1" spans="1:7" ht="15.75" x14ac:dyDescent="0.25">
      <c r="A1" s="5" t="s">
        <v>59</v>
      </c>
      <c r="B1" s="6"/>
      <c r="C1" s="6"/>
      <c r="D1" s="6"/>
      <c r="E1" s="6"/>
      <c r="F1" s="6"/>
      <c r="G1" s="6"/>
    </row>
    <row r="2" spans="1:7" x14ac:dyDescent="0.25">
      <c r="A2" s="7" t="s">
        <v>60</v>
      </c>
      <c r="B2" s="7" t="s">
        <v>61</v>
      </c>
      <c r="C2" s="7" t="s">
        <v>62</v>
      </c>
      <c r="D2" s="7" t="s">
        <v>63</v>
      </c>
      <c r="E2" s="7" t="s">
        <v>64</v>
      </c>
      <c r="F2" s="6"/>
      <c r="G2" s="6"/>
    </row>
    <row r="3" spans="1:7" x14ac:dyDescent="0.25">
      <c r="A3" s="6" t="s">
        <v>65</v>
      </c>
      <c r="B3" s="6" t="s">
        <v>66</v>
      </c>
      <c r="C3" s="6">
        <f>COUNTIFS(Datos!$A$2:$A$600,"&lt;&gt;EJEMPLO",Datos!$F$2:$F$600,"Sí",Datos!$G$2:$G$600,"Sí",Datos!$AC$2:$AC$600,"18 a 24")+COUNTIFS(Datos!$A$2:$A$600,"&lt;&gt;EJEMPLO",Datos!$F$2:$F$600,"Sí",Datos!$G$2:$G$600,"Sí",Datos!$AC$2:$AC$600,"25 a 29")</f>
        <v>0</v>
      </c>
      <c r="D3" s="6">
        <v>56</v>
      </c>
      <c r="E3" s="6">
        <f>MAX(0,D3-C3)</f>
        <v>56</v>
      </c>
      <c r="F3" s="6"/>
      <c r="G3" s="6"/>
    </row>
    <row r="4" spans="1:7" x14ac:dyDescent="0.25">
      <c r="A4" s="6" t="s">
        <v>67</v>
      </c>
      <c r="B4" s="6" t="s">
        <v>68</v>
      </c>
      <c r="C4" s="6">
        <f>COUNTIFS(Datos!$A$2:$A$600,"&lt;&gt;EJEMPLO",Datos!$F$2:$F$600,"Sí",Datos!$G$2:$G$600,"Sí",Datos!$AC$2:$AC$600,"30 a 37")+COUNTIFS(Datos!$A$2:$A$600,"&lt;&gt;EJEMPLO",Datos!$F$2:$F$600,"Sí",Datos!$G$2:$G$600,"Sí",Datos!$AC$2:$AC$600,"38 a 45")</f>
        <v>0</v>
      </c>
      <c r="D4" s="6">
        <v>56</v>
      </c>
      <c r="E4" s="6">
        <f>MAX(0,D4-C4)</f>
        <v>56</v>
      </c>
      <c r="F4" s="6"/>
      <c r="G4" s="6"/>
    </row>
    <row r="5" spans="1:7" x14ac:dyDescent="0.25">
      <c r="A5" s="6" t="s">
        <v>69</v>
      </c>
      <c r="B5" s="6" t="s">
        <v>70</v>
      </c>
      <c r="C5" s="6">
        <f>COUNTIFS(Datos!$A$2:$A$600,"&lt;&gt;EJEMPLO",Datos!$F$2:$F$600,"Sí",Datos!$G$2:$G$600,"Sí",Datos!$AC$2:$AC$600,"46 a 55")+COUNTIFS(Datos!$A$2:$A$600,"&lt;&gt;EJEMPLO",Datos!$F$2:$F$600,"Sí",Datos!$G$2:$G$600,"Sí",Datos!$AC$2:$AC$600,"56 o más")</f>
        <v>0</v>
      </c>
      <c r="D5" s="6">
        <v>56</v>
      </c>
      <c r="E5" s="6">
        <f>MAX(0,D5-C5)</f>
        <v>56</v>
      </c>
      <c r="F5" s="6"/>
      <c r="G5" s="6"/>
    </row>
    <row r="6" spans="1:7" x14ac:dyDescent="0.25">
      <c r="A6" s="6" t="s">
        <v>71</v>
      </c>
      <c r="B6" s="6"/>
      <c r="C6" s="6">
        <f>SUM(C3:C5)</f>
        <v>0</v>
      </c>
      <c r="D6" s="6">
        <f>SUM(D3:D5)</f>
        <v>168</v>
      </c>
      <c r="E6" s="6">
        <f>SUM(E3:E5)</f>
        <v>168</v>
      </c>
      <c r="F6" s="6"/>
      <c r="G6" s="6"/>
    </row>
    <row r="7" spans="1:7" ht="15.75" x14ac:dyDescent="0.25">
      <c r="A7" s="5" t="s">
        <v>72</v>
      </c>
      <c r="B7" s="6"/>
      <c r="C7" s="6"/>
      <c r="D7" s="6"/>
      <c r="E7" s="6"/>
      <c r="F7" s="6"/>
      <c r="G7" s="6"/>
    </row>
    <row r="8" spans="1:7" x14ac:dyDescent="0.25">
      <c r="A8" s="7" t="s">
        <v>73</v>
      </c>
      <c r="B8" s="7" t="s">
        <v>74</v>
      </c>
      <c r="C8" s="7" t="s">
        <v>75</v>
      </c>
      <c r="D8" s="7" t="s">
        <v>44</v>
      </c>
      <c r="E8" s="7" t="s">
        <v>76</v>
      </c>
      <c r="F8" s="7" t="s">
        <v>77</v>
      </c>
      <c r="G8" s="7" t="s">
        <v>71</v>
      </c>
    </row>
    <row r="9" spans="1:7" x14ac:dyDescent="0.25">
      <c r="A9" s="6" t="s">
        <v>78</v>
      </c>
      <c r="B9" s="6" t="s">
        <v>79</v>
      </c>
      <c r="C9" s="6">
        <f>COUNTIFS(Datos!$A$2:$A$600,"&lt;&gt;EJEMPLO",Datos!$F$2:$F$600,"Sí",Datos!$G$2:$G$600,"Sí",Datos!$B$2:$B$600,$A9,Datos!$D$2:$D$600,C$8)</f>
        <v>0</v>
      </c>
      <c r="D9" s="6">
        <f>COUNTIFS(Datos!$A$2:$A$600,"&lt;&gt;EJEMPLO",Datos!$F$2:$F$600,"Sí",Datos!$G$2:$G$600,"Sí",Datos!$B$2:$B$600,$A9,Datos!$D$2:$D$600,D$8)</f>
        <v>0</v>
      </c>
      <c r="E9" s="6">
        <f>COUNTIFS(Datos!$A$2:$A$600,"&lt;&gt;EJEMPLO",Datos!$F$2:$F$600,"Sí",Datos!$G$2:$G$600,"Sí",Datos!$B$2:$B$600,$A9,Datos!$D$2:$D$600,E$8)</f>
        <v>0</v>
      </c>
      <c r="F9" s="6">
        <f>COUNTIFS(Datos!$A$2:$A$600,"&lt;&gt;EJEMPLO",Datos!$F$2:$F$600,"Sí",Datos!$G$2:$G$600,"Sí",Datos!$B$2:$B$600,$A9,Datos!$D$2:$D$600,F$8)</f>
        <v>0</v>
      </c>
      <c r="G9" s="6">
        <f t="shared" ref="G9:G16" si="0">SUM(C9:F9)</f>
        <v>0</v>
      </c>
    </row>
    <row r="10" spans="1:7" x14ac:dyDescent="0.25">
      <c r="A10" s="6" t="s">
        <v>80</v>
      </c>
      <c r="B10" s="6" t="s">
        <v>81</v>
      </c>
      <c r="C10" s="6">
        <f>COUNTIFS(Datos!$A$2:$A$600,"&lt;&gt;EJEMPLO",Datos!$F$2:$F$600,"Sí",Datos!$G$2:$G$600,"Sí",Datos!$B$2:$B$600,$A10,Datos!$D$2:$D$600,C$8)</f>
        <v>0</v>
      </c>
      <c r="D10" s="6">
        <f>COUNTIFS(Datos!$A$2:$A$600,"&lt;&gt;EJEMPLO",Datos!$F$2:$F$600,"Sí",Datos!$G$2:$G$600,"Sí",Datos!$B$2:$B$600,$A10,Datos!$D$2:$D$600,D$8)</f>
        <v>0</v>
      </c>
      <c r="E10" s="6">
        <f>COUNTIFS(Datos!$A$2:$A$600,"&lt;&gt;EJEMPLO",Datos!$F$2:$F$600,"Sí",Datos!$G$2:$G$600,"Sí",Datos!$B$2:$B$600,$A10,Datos!$D$2:$D$600,E$8)</f>
        <v>0</v>
      </c>
      <c r="F10" s="6">
        <f>COUNTIFS(Datos!$A$2:$A$600,"&lt;&gt;EJEMPLO",Datos!$F$2:$F$600,"Sí",Datos!$G$2:$G$600,"Sí",Datos!$B$2:$B$600,$A10,Datos!$D$2:$D$600,F$8)</f>
        <v>0</v>
      </c>
      <c r="G10" s="6">
        <f t="shared" si="0"/>
        <v>0</v>
      </c>
    </row>
    <row r="11" spans="1:7" x14ac:dyDescent="0.25">
      <c r="A11" s="6" t="s">
        <v>82</v>
      </c>
      <c r="B11" s="6" t="s">
        <v>83</v>
      </c>
      <c r="C11" s="6">
        <f>COUNTIFS(Datos!$A$2:$A$600,"&lt;&gt;EJEMPLO",Datos!$F$2:$F$600,"Sí",Datos!$G$2:$G$600,"Sí",Datos!$B$2:$B$600,$A11,Datos!$D$2:$D$600,C$8)</f>
        <v>0</v>
      </c>
      <c r="D11" s="6">
        <f>COUNTIFS(Datos!$A$2:$A$600,"&lt;&gt;EJEMPLO",Datos!$F$2:$F$600,"Sí",Datos!$G$2:$G$600,"Sí",Datos!$B$2:$B$600,$A11,Datos!$D$2:$D$600,D$8)</f>
        <v>0</v>
      </c>
      <c r="E11" s="6">
        <f>COUNTIFS(Datos!$A$2:$A$600,"&lt;&gt;EJEMPLO",Datos!$F$2:$F$600,"Sí",Datos!$G$2:$G$600,"Sí",Datos!$B$2:$B$600,$A11,Datos!$D$2:$D$600,E$8)</f>
        <v>0</v>
      </c>
      <c r="F11" s="6">
        <f>COUNTIFS(Datos!$A$2:$A$600,"&lt;&gt;EJEMPLO",Datos!$F$2:$F$600,"Sí",Datos!$G$2:$G$600,"Sí",Datos!$B$2:$B$600,$A11,Datos!$D$2:$D$600,F$8)</f>
        <v>0</v>
      </c>
      <c r="G11" s="6">
        <f t="shared" si="0"/>
        <v>0</v>
      </c>
    </row>
    <row r="12" spans="1:7" x14ac:dyDescent="0.25">
      <c r="A12" s="6" t="s">
        <v>84</v>
      </c>
      <c r="B12" s="6" t="s">
        <v>85</v>
      </c>
      <c r="C12" s="6">
        <f>COUNTIFS(Datos!$A$2:$A$600,"&lt;&gt;EJEMPLO",Datos!$F$2:$F$600,"Sí",Datos!$G$2:$G$600,"Sí",Datos!$B$2:$B$600,$A12,Datos!$D$2:$D$600,C$8)</f>
        <v>0</v>
      </c>
      <c r="D12" s="6">
        <f>COUNTIFS(Datos!$A$2:$A$600,"&lt;&gt;EJEMPLO",Datos!$F$2:$F$600,"Sí",Datos!$G$2:$G$600,"Sí",Datos!$B$2:$B$600,$A12,Datos!$D$2:$D$600,D$8)</f>
        <v>0</v>
      </c>
      <c r="E12" s="6">
        <f>COUNTIFS(Datos!$A$2:$A$600,"&lt;&gt;EJEMPLO",Datos!$F$2:$F$600,"Sí",Datos!$G$2:$G$600,"Sí",Datos!$B$2:$B$600,$A12,Datos!$D$2:$D$600,E$8)</f>
        <v>0</v>
      </c>
      <c r="F12" s="6">
        <f>COUNTIFS(Datos!$A$2:$A$600,"&lt;&gt;EJEMPLO",Datos!$F$2:$F$600,"Sí",Datos!$G$2:$G$600,"Sí",Datos!$B$2:$B$600,$A12,Datos!$D$2:$D$600,F$8)</f>
        <v>0</v>
      </c>
      <c r="G12" s="6">
        <f t="shared" si="0"/>
        <v>0</v>
      </c>
    </row>
    <row r="13" spans="1:7" x14ac:dyDescent="0.25">
      <c r="A13" s="6" t="s">
        <v>86</v>
      </c>
      <c r="B13" s="6" t="s">
        <v>87</v>
      </c>
      <c r="C13" s="6">
        <f>COUNTIFS(Datos!$A$2:$A$600,"&lt;&gt;EJEMPLO",Datos!$F$2:$F$600,"Sí",Datos!$G$2:$G$600,"Sí",Datos!$B$2:$B$600,$A13,Datos!$D$2:$D$600,C$8)</f>
        <v>0</v>
      </c>
      <c r="D13" s="6">
        <f>COUNTIFS(Datos!$A$2:$A$600,"&lt;&gt;EJEMPLO",Datos!$F$2:$F$600,"Sí",Datos!$G$2:$G$600,"Sí",Datos!$B$2:$B$600,$A13,Datos!$D$2:$D$600,D$8)</f>
        <v>0</v>
      </c>
      <c r="E13" s="6">
        <f>COUNTIFS(Datos!$A$2:$A$600,"&lt;&gt;EJEMPLO",Datos!$F$2:$F$600,"Sí",Datos!$G$2:$G$600,"Sí",Datos!$B$2:$B$600,$A13,Datos!$D$2:$D$600,E$8)</f>
        <v>0</v>
      </c>
      <c r="F13" s="6">
        <f>COUNTIFS(Datos!$A$2:$A$600,"&lt;&gt;EJEMPLO",Datos!$F$2:$F$600,"Sí",Datos!$G$2:$G$600,"Sí",Datos!$B$2:$B$600,$A13,Datos!$D$2:$D$600,F$8)</f>
        <v>0</v>
      </c>
      <c r="G13" s="6">
        <f t="shared" si="0"/>
        <v>0</v>
      </c>
    </row>
    <row r="14" spans="1:7" x14ac:dyDescent="0.25">
      <c r="A14" s="6" t="s">
        <v>88</v>
      </c>
      <c r="B14" s="6" t="s">
        <v>89</v>
      </c>
      <c r="C14" s="6">
        <f>COUNTIFS(Datos!$A$2:$A$600,"&lt;&gt;EJEMPLO",Datos!$F$2:$F$600,"Sí",Datos!$G$2:$G$600,"Sí",Datos!$B$2:$B$600,$A14,Datos!$D$2:$D$600,C$8)</f>
        <v>0</v>
      </c>
      <c r="D14" s="6">
        <f>COUNTIFS(Datos!$A$2:$A$600,"&lt;&gt;EJEMPLO",Datos!$F$2:$F$600,"Sí",Datos!$G$2:$G$600,"Sí",Datos!$B$2:$B$600,$A14,Datos!$D$2:$D$600,D$8)</f>
        <v>0</v>
      </c>
      <c r="E14" s="6">
        <f>COUNTIFS(Datos!$A$2:$A$600,"&lt;&gt;EJEMPLO",Datos!$F$2:$F$600,"Sí",Datos!$G$2:$G$600,"Sí",Datos!$B$2:$B$600,$A14,Datos!$D$2:$D$600,E$8)</f>
        <v>0</v>
      </c>
      <c r="F14" s="6">
        <f>COUNTIFS(Datos!$A$2:$A$600,"&lt;&gt;EJEMPLO",Datos!$F$2:$F$600,"Sí",Datos!$G$2:$G$600,"Sí",Datos!$B$2:$B$600,$A14,Datos!$D$2:$D$600,F$8)</f>
        <v>0</v>
      </c>
      <c r="G14" s="6">
        <f t="shared" si="0"/>
        <v>0</v>
      </c>
    </row>
    <row r="15" spans="1:7" x14ac:dyDescent="0.25">
      <c r="A15" s="6" t="s">
        <v>42</v>
      </c>
      <c r="B15" s="6" t="s">
        <v>90</v>
      </c>
      <c r="C15" s="6">
        <f>COUNTIFS(Datos!$A$2:$A$600,"&lt;&gt;EJEMPLO",Datos!$F$2:$F$600,"Sí",Datos!$G$2:$G$600,"Sí",Datos!$B$2:$B$600,$A15,Datos!$D$2:$D$600,C$8)</f>
        <v>0</v>
      </c>
      <c r="D15" s="6">
        <f>COUNTIFS(Datos!$A$2:$A$600,"&lt;&gt;EJEMPLO",Datos!$F$2:$F$600,"Sí",Datos!$G$2:$G$600,"Sí",Datos!$B$2:$B$600,$A15,Datos!$D$2:$D$600,D$8)</f>
        <v>0</v>
      </c>
      <c r="E15" s="6">
        <f>COUNTIFS(Datos!$A$2:$A$600,"&lt;&gt;EJEMPLO",Datos!$F$2:$F$600,"Sí",Datos!$G$2:$G$600,"Sí",Datos!$B$2:$B$600,$A15,Datos!$D$2:$D$600,E$8)</f>
        <v>0</v>
      </c>
      <c r="F15" s="6">
        <f>COUNTIFS(Datos!$A$2:$A$600,"&lt;&gt;EJEMPLO",Datos!$F$2:$F$600,"Sí",Datos!$G$2:$G$600,"Sí",Datos!$B$2:$B$600,$A15,Datos!$D$2:$D$600,F$8)</f>
        <v>0</v>
      </c>
      <c r="G15" s="6">
        <f t="shared" si="0"/>
        <v>0</v>
      </c>
    </row>
    <row r="16" spans="1:7" x14ac:dyDescent="0.25">
      <c r="A16" s="6" t="s">
        <v>91</v>
      </c>
      <c r="B16" s="6" t="s">
        <v>92</v>
      </c>
      <c r="C16" s="6">
        <f>COUNTIFS(Datos!$A$2:$A$600,"&lt;&gt;EJEMPLO",Datos!$F$2:$F$600,"Sí",Datos!$G$2:$G$600,"Sí",Datos!$B$2:$B$600,$A16,Datos!$D$2:$D$600,C$8)</f>
        <v>0</v>
      </c>
      <c r="D16" s="6">
        <f>COUNTIFS(Datos!$A$2:$A$600,"&lt;&gt;EJEMPLO",Datos!$F$2:$F$600,"Sí",Datos!$G$2:$G$600,"Sí",Datos!$B$2:$B$600,$A16,Datos!$D$2:$D$600,D$8)</f>
        <v>0</v>
      </c>
      <c r="E16" s="6">
        <f>COUNTIFS(Datos!$A$2:$A$600,"&lt;&gt;EJEMPLO",Datos!$F$2:$F$600,"Sí",Datos!$G$2:$G$600,"Sí",Datos!$B$2:$B$600,$A16,Datos!$D$2:$D$600,E$8)</f>
        <v>0</v>
      </c>
      <c r="F16" s="6">
        <f>COUNTIFS(Datos!$A$2:$A$600,"&lt;&gt;EJEMPLO",Datos!$F$2:$F$600,"Sí",Datos!$G$2:$G$600,"Sí",Datos!$B$2:$B$600,$A16,Datos!$D$2:$D$600,F$8)</f>
        <v>0</v>
      </c>
      <c r="G16" s="6">
        <f t="shared" si="0"/>
        <v>0</v>
      </c>
    </row>
    <row r="17" spans="1:7" ht="15.75" x14ac:dyDescent="0.25">
      <c r="A17" s="5" t="s">
        <v>93</v>
      </c>
      <c r="B17" s="6"/>
      <c r="C17" s="6"/>
      <c r="D17" s="6"/>
      <c r="E17" s="6"/>
      <c r="F17" s="6"/>
      <c r="G17" s="6"/>
    </row>
    <row r="18" spans="1:7" x14ac:dyDescent="0.25">
      <c r="A18" s="6" t="s">
        <v>94</v>
      </c>
      <c r="B18" s="6">
        <f>COUNTIFS(Datos!$A$2:$A$600,"&lt;&gt;EJEMPLO",Datos!$A$2:$A$600,"&lt;&gt;")</f>
        <v>0</v>
      </c>
      <c r="C18" s="6"/>
      <c r="D18" s="6"/>
      <c r="E18" s="6"/>
      <c r="F18" s="6"/>
      <c r="G18" s="6"/>
    </row>
    <row r="19" spans="1:7" x14ac:dyDescent="0.25">
      <c r="A19" s="6" t="s">
        <v>95</v>
      </c>
      <c r="B19" s="6">
        <f>C6</f>
        <v>0</v>
      </c>
      <c r="C19" s="6"/>
      <c r="D19" s="6"/>
      <c r="E19" s="6"/>
      <c r="F19" s="6"/>
      <c r="G19" s="6"/>
    </row>
    <row r="20" spans="1:7" x14ac:dyDescent="0.25">
      <c r="A20" s="6" t="s">
        <v>93</v>
      </c>
      <c r="B20" s="8">
        <f>IF(B18=0,0,B19/B18)</f>
        <v>0</v>
      </c>
      <c r="C20" s="6"/>
      <c r="D20" s="6"/>
      <c r="E20" s="6"/>
      <c r="F20" s="6"/>
      <c r="G20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"/>
  <sheetViews>
    <sheetView zoomScaleNormal="100" workbookViewId="0"/>
  </sheetViews>
  <sheetFormatPr defaultColWidth="8.7109375" defaultRowHeight="15" x14ac:dyDescent="0.25"/>
  <sheetData>
    <row r="1" spans="1:23" x14ac:dyDescent="0.25">
      <c r="A1" t="s">
        <v>9</v>
      </c>
      <c r="B1" t="s">
        <v>11</v>
      </c>
      <c r="C1" t="s">
        <v>13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</row>
    <row r="2" spans="1:23" x14ac:dyDescent="0.25">
      <c r="A2" t="s">
        <v>78</v>
      </c>
      <c r="B2" t="s">
        <v>75</v>
      </c>
      <c r="C2" t="s">
        <v>46</v>
      </c>
      <c r="D2" t="s">
        <v>46</v>
      </c>
      <c r="E2" t="s">
        <v>96</v>
      </c>
      <c r="F2" t="s">
        <v>48</v>
      </c>
      <c r="G2" t="s">
        <v>97</v>
      </c>
      <c r="H2" t="s">
        <v>46</v>
      </c>
      <c r="I2" t="s">
        <v>46</v>
      </c>
      <c r="J2" t="s">
        <v>46</v>
      </c>
      <c r="K2" t="s">
        <v>46</v>
      </c>
      <c r="L2" t="s">
        <v>98</v>
      </c>
      <c r="M2" t="s">
        <v>98</v>
      </c>
      <c r="N2" t="s">
        <v>98</v>
      </c>
      <c r="O2" t="s">
        <v>98</v>
      </c>
      <c r="P2" t="s">
        <v>98</v>
      </c>
      <c r="Q2" t="s">
        <v>98</v>
      </c>
      <c r="R2" t="s">
        <v>98</v>
      </c>
      <c r="S2" t="s">
        <v>98</v>
      </c>
      <c r="T2" t="s">
        <v>99</v>
      </c>
      <c r="U2" t="s">
        <v>100</v>
      </c>
      <c r="V2" t="s">
        <v>98</v>
      </c>
      <c r="W2" t="s">
        <v>101</v>
      </c>
    </row>
    <row r="3" spans="1:23" x14ac:dyDescent="0.25">
      <c r="A3" t="s">
        <v>80</v>
      </c>
      <c r="B3" t="s">
        <v>44</v>
      </c>
      <c r="C3" t="s">
        <v>50</v>
      </c>
      <c r="D3" t="s">
        <v>50</v>
      </c>
      <c r="E3" t="s">
        <v>102</v>
      </c>
      <c r="F3" t="s">
        <v>103</v>
      </c>
      <c r="G3" t="s">
        <v>104</v>
      </c>
      <c r="H3" t="s">
        <v>50</v>
      </c>
      <c r="I3" t="s">
        <v>50</v>
      </c>
      <c r="J3" t="s">
        <v>50</v>
      </c>
      <c r="K3" t="s">
        <v>50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105</v>
      </c>
      <c r="U3" t="s">
        <v>56</v>
      </c>
      <c r="V3" t="s">
        <v>53</v>
      </c>
      <c r="W3" t="s">
        <v>57</v>
      </c>
    </row>
    <row r="4" spans="1:23" x14ac:dyDescent="0.25">
      <c r="A4" t="s">
        <v>82</v>
      </c>
      <c r="B4" t="s">
        <v>76</v>
      </c>
      <c r="E4" t="s">
        <v>47</v>
      </c>
      <c r="F4" t="s">
        <v>106</v>
      </c>
      <c r="G4" t="s">
        <v>49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55</v>
      </c>
      <c r="U4" t="s">
        <v>107</v>
      </c>
      <c r="V4" t="s">
        <v>54</v>
      </c>
      <c r="W4" t="s">
        <v>108</v>
      </c>
    </row>
    <row r="5" spans="1:23" x14ac:dyDescent="0.25">
      <c r="A5" t="s">
        <v>84</v>
      </c>
      <c r="B5" t="s">
        <v>77</v>
      </c>
      <c r="E5" t="s">
        <v>109</v>
      </c>
      <c r="F5" t="s">
        <v>110</v>
      </c>
      <c r="G5" t="s">
        <v>111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112</v>
      </c>
      <c r="U5" t="s">
        <v>113</v>
      </c>
      <c r="V5" t="s">
        <v>52</v>
      </c>
      <c r="W5" t="s">
        <v>114</v>
      </c>
    </row>
    <row r="6" spans="1:23" x14ac:dyDescent="0.25">
      <c r="A6" t="s">
        <v>86</v>
      </c>
      <c r="E6" t="s">
        <v>115</v>
      </c>
      <c r="G6" t="s">
        <v>116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117</v>
      </c>
      <c r="U6" t="s">
        <v>118</v>
      </c>
      <c r="V6" t="s">
        <v>51</v>
      </c>
    </row>
    <row r="7" spans="1:23" x14ac:dyDescent="0.25">
      <c r="A7" t="s">
        <v>119</v>
      </c>
      <c r="E7" t="s">
        <v>120</v>
      </c>
      <c r="T7" t="s">
        <v>121</v>
      </c>
      <c r="U7" t="s">
        <v>122</v>
      </c>
      <c r="V7" t="s">
        <v>123</v>
      </c>
    </row>
    <row r="8" spans="1:23" x14ac:dyDescent="0.25">
      <c r="A8" t="s">
        <v>88</v>
      </c>
      <c r="V8" t="s">
        <v>124</v>
      </c>
    </row>
    <row r="9" spans="1:23" x14ac:dyDescent="0.25">
      <c r="A9" t="s">
        <v>42</v>
      </c>
    </row>
    <row r="10" spans="1:23" x14ac:dyDescent="0.25">
      <c r="A10" t="s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4"/>
  <sheetViews>
    <sheetView topLeftCell="A9" zoomScaleNormal="100" workbookViewId="0"/>
  </sheetViews>
  <sheetFormatPr defaultColWidth="8.7109375" defaultRowHeight="15" x14ac:dyDescent="0.25"/>
  <cols>
    <col min="1" max="1" width="20" customWidth="1"/>
    <col min="2" max="2" width="52" customWidth="1"/>
    <col min="3" max="3" width="18" customWidth="1"/>
    <col min="4" max="4" width="80" customWidth="1"/>
  </cols>
  <sheetData>
    <row r="1" spans="1:4" x14ac:dyDescent="0.25">
      <c r="A1" s="3" t="s">
        <v>125</v>
      </c>
      <c r="B1" s="3" t="s">
        <v>126</v>
      </c>
      <c r="C1" s="3" t="s">
        <v>127</v>
      </c>
      <c r="D1" s="3" t="s">
        <v>128</v>
      </c>
    </row>
    <row r="2" spans="1:4" x14ac:dyDescent="0.25">
      <c r="A2" s="9" t="s">
        <v>8</v>
      </c>
      <c r="B2" s="9" t="s">
        <v>129</v>
      </c>
      <c r="C2" s="9" t="s">
        <v>130</v>
      </c>
      <c r="D2" s="9"/>
    </row>
    <row r="3" spans="1:4" x14ac:dyDescent="0.25">
      <c r="A3" s="9" t="s">
        <v>9</v>
      </c>
      <c r="B3" s="9" t="s">
        <v>131</v>
      </c>
      <c r="C3" s="9" t="s">
        <v>132</v>
      </c>
      <c r="D3" s="9" t="s">
        <v>133</v>
      </c>
    </row>
    <row r="4" spans="1:4" ht="25.5" x14ac:dyDescent="0.25">
      <c r="A4" s="9" t="s">
        <v>10</v>
      </c>
      <c r="B4" s="9" t="s">
        <v>134</v>
      </c>
      <c r="C4" s="9" t="s">
        <v>135</v>
      </c>
      <c r="D4" s="9"/>
    </row>
    <row r="5" spans="1:4" x14ac:dyDescent="0.25">
      <c r="A5" s="9" t="s">
        <v>11</v>
      </c>
      <c r="B5" s="9" t="s">
        <v>136</v>
      </c>
      <c r="C5" s="9" t="s">
        <v>132</v>
      </c>
      <c r="D5" s="9" t="s">
        <v>137</v>
      </c>
    </row>
    <row r="6" spans="1:4" x14ac:dyDescent="0.25">
      <c r="A6" s="9" t="s">
        <v>12</v>
      </c>
      <c r="B6" s="9" t="s">
        <v>138</v>
      </c>
      <c r="C6" s="9" t="s">
        <v>130</v>
      </c>
      <c r="D6" s="9"/>
    </row>
    <row r="7" spans="1:4" x14ac:dyDescent="0.25">
      <c r="A7" s="9" t="s">
        <v>13</v>
      </c>
      <c r="B7" s="9" t="s">
        <v>139</v>
      </c>
      <c r="C7" s="9" t="s">
        <v>132</v>
      </c>
      <c r="D7" s="9" t="s">
        <v>140</v>
      </c>
    </row>
    <row r="8" spans="1:4" x14ac:dyDescent="0.25">
      <c r="A8" s="9" t="s">
        <v>14</v>
      </c>
      <c r="B8" s="9" t="s">
        <v>141</v>
      </c>
      <c r="C8" s="9" t="s">
        <v>132</v>
      </c>
      <c r="D8" s="9" t="s">
        <v>140</v>
      </c>
    </row>
    <row r="9" spans="1:4" ht="25.5" x14ac:dyDescent="0.25">
      <c r="A9" s="9" t="s">
        <v>15</v>
      </c>
      <c r="B9" s="9" t="s">
        <v>142</v>
      </c>
      <c r="C9" s="9" t="s">
        <v>132</v>
      </c>
      <c r="D9" s="9" t="s">
        <v>143</v>
      </c>
    </row>
    <row r="10" spans="1:4" x14ac:dyDescent="0.25">
      <c r="A10" s="9" t="s">
        <v>16</v>
      </c>
      <c r="B10" s="9" t="s">
        <v>144</v>
      </c>
      <c r="C10" s="9" t="s">
        <v>130</v>
      </c>
      <c r="D10" s="9"/>
    </row>
    <row r="11" spans="1:4" x14ac:dyDescent="0.25">
      <c r="A11" s="9" t="s">
        <v>17</v>
      </c>
      <c r="B11" s="9" t="s">
        <v>145</v>
      </c>
      <c r="C11" s="9" t="s">
        <v>132</v>
      </c>
      <c r="D11" s="9" t="s">
        <v>146</v>
      </c>
    </row>
    <row r="12" spans="1:4" x14ac:dyDescent="0.25">
      <c r="A12" s="9" t="s">
        <v>18</v>
      </c>
      <c r="B12" s="9" t="s">
        <v>147</v>
      </c>
      <c r="C12" s="9" t="s">
        <v>132</v>
      </c>
      <c r="D12" s="9" t="s">
        <v>148</v>
      </c>
    </row>
    <row r="13" spans="1:4" x14ac:dyDescent="0.25">
      <c r="A13" s="9" t="s">
        <v>19</v>
      </c>
      <c r="B13" s="9" t="s">
        <v>149</v>
      </c>
      <c r="C13" s="9" t="s">
        <v>132</v>
      </c>
      <c r="D13" s="9" t="s">
        <v>140</v>
      </c>
    </row>
    <row r="14" spans="1:4" x14ac:dyDescent="0.25">
      <c r="A14" s="9" t="s">
        <v>20</v>
      </c>
      <c r="B14" s="9" t="s">
        <v>150</v>
      </c>
      <c r="C14" s="9" t="s">
        <v>132</v>
      </c>
      <c r="D14" s="9" t="s">
        <v>140</v>
      </c>
    </row>
    <row r="15" spans="1:4" x14ac:dyDescent="0.25">
      <c r="A15" s="9" t="s">
        <v>21</v>
      </c>
      <c r="B15" s="9" t="s">
        <v>151</v>
      </c>
      <c r="C15" s="9" t="s">
        <v>132</v>
      </c>
      <c r="D15" s="9" t="s">
        <v>140</v>
      </c>
    </row>
    <row r="16" spans="1:4" x14ac:dyDescent="0.25">
      <c r="A16" s="9" t="s">
        <v>22</v>
      </c>
      <c r="B16" s="9" t="s">
        <v>152</v>
      </c>
      <c r="C16" s="9" t="s">
        <v>132</v>
      </c>
      <c r="D16" s="9" t="s">
        <v>140</v>
      </c>
    </row>
    <row r="17" spans="1:4" x14ac:dyDescent="0.25">
      <c r="A17" s="9" t="s">
        <v>23</v>
      </c>
      <c r="B17" s="9" t="s">
        <v>153</v>
      </c>
      <c r="C17" s="9" t="s">
        <v>154</v>
      </c>
      <c r="D17" s="9"/>
    </row>
    <row r="18" spans="1:4" x14ac:dyDescent="0.25">
      <c r="A18" s="9" t="s">
        <v>24</v>
      </c>
      <c r="B18" s="9" t="s">
        <v>155</v>
      </c>
      <c r="C18" s="9" t="s">
        <v>154</v>
      </c>
      <c r="D18" s="9"/>
    </row>
    <row r="19" spans="1:4" x14ac:dyDescent="0.25">
      <c r="A19" s="9" t="s">
        <v>25</v>
      </c>
      <c r="B19" s="9" t="s">
        <v>156</v>
      </c>
      <c r="C19" s="9" t="s">
        <v>154</v>
      </c>
      <c r="D19" s="9"/>
    </row>
    <row r="20" spans="1:4" x14ac:dyDescent="0.25">
      <c r="A20" s="9" t="s">
        <v>26</v>
      </c>
      <c r="B20" s="9" t="s">
        <v>157</v>
      </c>
      <c r="C20" s="9" t="s">
        <v>158</v>
      </c>
      <c r="D20" s="9"/>
    </row>
    <row r="21" spans="1:4" x14ac:dyDescent="0.25">
      <c r="A21" s="9" t="s">
        <v>27</v>
      </c>
      <c r="B21" s="9" t="s">
        <v>159</v>
      </c>
      <c r="C21" s="9" t="s">
        <v>154</v>
      </c>
      <c r="D21" s="9"/>
    </row>
    <row r="22" spans="1:4" x14ac:dyDescent="0.25">
      <c r="A22" s="9" t="s">
        <v>28</v>
      </c>
      <c r="B22" s="9" t="s">
        <v>160</v>
      </c>
      <c r="C22" s="9" t="s">
        <v>161</v>
      </c>
      <c r="D22" s="9" t="s">
        <v>162</v>
      </c>
    </row>
    <row r="23" spans="1:4" x14ac:dyDescent="0.25">
      <c r="A23" s="9" t="s">
        <v>29</v>
      </c>
      <c r="B23" s="9" t="s">
        <v>163</v>
      </c>
      <c r="C23" s="9" t="s">
        <v>161</v>
      </c>
      <c r="D23" s="9" t="s">
        <v>162</v>
      </c>
    </row>
    <row r="24" spans="1:4" x14ac:dyDescent="0.25">
      <c r="A24" s="9" t="s">
        <v>30</v>
      </c>
      <c r="B24" s="9" t="s">
        <v>164</v>
      </c>
      <c r="C24" s="9" t="s">
        <v>161</v>
      </c>
      <c r="D24" s="9" t="s">
        <v>162</v>
      </c>
    </row>
    <row r="25" spans="1:4" x14ac:dyDescent="0.25">
      <c r="A25" s="9" t="s">
        <v>31</v>
      </c>
      <c r="B25" s="9" t="s">
        <v>165</v>
      </c>
      <c r="C25" s="9" t="s">
        <v>161</v>
      </c>
      <c r="D25" s="9" t="s">
        <v>162</v>
      </c>
    </row>
    <row r="26" spans="1:4" x14ac:dyDescent="0.25">
      <c r="A26" s="9" t="s">
        <v>32</v>
      </c>
      <c r="B26" s="9" t="s">
        <v>166</v>
      </c>
      <c r="C26" s="9" t="s">
        <v>161</v>
      </c>
      <c r="D26" s="9" t="s">
        <v>162</v>
      </c>
    </row>
    <row r="27" spans="1:4" x14ac:dyDescent="0.25">
      <c r="A27" s="9" t="s">
        <v>33</v>
      </c>
      <c r="B27" s="9" t="s">
        <v>167</v>
      </c>
      <c r="C27" s="9" t="s">
        <v>161</v>
      </c>
      <c r="D27" s="9" t="s">
        <v>162</v>
      </c>
    </row>
    <row r="28" spans="1:4" x14ac:dyDescent="0.25">
      <c r="A28" s="9" t="s">
        <v>34</v>
      </c>
      <c r="B28" s="9" t="s">
        <v>168</v>
      </c>
      <c r="C28" s="9" t="s">
        <v>161</v>
      </c>
      <c r="D28" s="9" t="s">
        <v>162</v>
      </c>
    </row>
    <row r="29" spans="1:4" x14ac:dyDescent="0.25">
      <c r="A29" s="9" t="s">
        <v>35</v>
      </c>
      <c r="B29" s="9" t="s">
        <v>169</v>
      </c>
      <c r="C29" s="9" t="s">
        <v>161</v>
      </c>
      <c r="D29" s="9" t="s">
        <v>162</v>
      </c>
    </row>
    <row r="30" spans="1:4" x14ac:dyDescent="0.25">
      <c r="A30" s="9" t="s">
        <v>36</v>
      </c>
      <c r="B30" s="9" t="s">
        <v>170</v>
      </c>
      <c r="C30" s="9" t="s">
        <v>132</v>
      </c>
      <c r="D30" s="9" t="s">
        <v>171</v>
      </c>
    </row>
    <row r="31" spans="1:4" x14ac:dyDescent="0.25">
      <c r="A31" s="9" t="s">
        <v>37</v>
      </c>
      <c r="B31" s="9" t="s">
        <v>172</v>
      </c>
      <c r="C31" s="9" t="s">
        <v>132</v>
      </c>
      <c r="D31" s="9" t="s">
        <v>173</v>
      </c>
    </row>
    <row r="32" spans="1:4" x14ac:dyDescent="0.25">
      <c r="A32" s="9" t="s">
        <v>38</v>
      </c>
      <c r="B32" s="9" t="s">
        <v>174</v>
      </c>
      <c r="C32" s="9" t="s">
        <v>132</v>
      </c>
      <c r="D32" s="9" t="s">
        <v>175</v>
      </c>
    </row>
    <row r="33" spans="1:4" x14ac:dyDescent="0.25">
      <c r="A33" s="9" t="s">
        <v>39</v>
      </c>
      <c r="B33" s="9" t="s">
        <v>176</v>
      </c>
      <c r="C33" s="9" t="s">
        <v>132</v>
      </c>
      <c r="D33" s="9" t="s">
        <v>177</v>
      </c>
    </row>
    <row r="34" spans="1:4" x14ac:dyDescent="0.25">
      <c r="A34" s="9" t="s">
        <v>40</v>
      </c>
      <c r="B34" s="9" t="s">
        <v>178</v>
      </c>
      <c r="C34" s="9" t="s">
        <v>130</v>
      </c>
      <c r="D34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tabSelected="1" zoomScaleNormal="100" workbookViewId="0">
      <selection activeCell="F4" sqref="F4"/>
    </sheetView>
  </sheetViews>
  <sheetFormatPr defaultColWidth="8.7109375" defaultRowHeight="15" x14ac:dyDescent="0.25"/>
  <cols>
    <col min="1" max="1" width="8" customWidth="1"/>
    <col min="2" max="2" width="30" customWidth="1"/>
    <col min="3" max="3" width="24" customWidth="1"/>
    <col min="4" max="4" width="22" customWidth="1"/>
    <col min="5" max="5" width="14" customWidth="1"/>
  </cols>
  <sheetData>
    <row r="1" spans="1:4" x14ac:dyDescent="0.25">
      <c r="A1" s="3" t="s">
        <v>179</v>
      </c>
      <c r="B1" s="3" t="s">
        <v>180</v>
      </c>
      <c r="C1" s="3" t="s">
        <v>181</v>
      </c>
      <c r="D1" s="3" t="s">
        <v>182</v>
      </c>
    </row>
    <row r="2" spans="1:4" x14ac:dyDescent="0.25">
      <c r="A2" s="10" t="s">
        <v>78</v>
      </c>
      <c r="B2" s="10" t="s">
        <v>79</v>
      </c>
      <c r="C2" s="10" t="s">
        <v>183</v>
      </c>
      <c r="D2" s="10" t="s">
        <v>184</v>
      </c>
    </row>
    <row r="3" spans="1:4" x14ac:dyDescent="0.25">
      <c r="A3" s="10" t="s">
        <v>80</v>
      </c>
      <c r="B3" s="10" t="s">
        <v>81</v>
      </c>
      <c r="C3" s="10" t="s">
        <v>185</v>
      </c>
      <c r="D3" s="10" t="s">
        <v>186</v>
      </c>
    </row>
    <row r="4" spans="1:4" x14ac:dyDescent="0.25">
      <c r="A4" s="10" t="s">
        <v>82</v>
      </c>
      <c r="B4" s="10" t="s">
        <v>83</v>
      </c>
      <c r="C4" s="10" t="s">
        <v>187</v>
      </c>
      <c r="D4" s="10" t="s">
        <v>184</v>
      </c>
    </row>
    <row r="5" spans="1:4" x14ac:dyDescent="0.25">
      <c r="A5" s="10" t="s">
        <v>84</v>
      </c>
      <c r="B5" s="10" t="s">
        <v>85</v>
      </c>
      <c r="C5" s="10" t="s">
        <v>188</v>
      </c>
      <c r="D5" s="10" t="s">
        <v>186</v>
      </c>
    </row>
    <row r="6" spans="1:4" x14ac:dyDescent="0.25">
      <c r="A6" s="10" t="s">
        <v>86</v>
      </c>
      <c r="B6" s="10" t="s">
        <v>87</v>
      </c>
      <c r="C6" s="10" t="s">
        <v>189</v>
      </c>
      <c r="D6" s="10" t="s">
        <v>186</v>
      </c>
    </row>
    <row r="7" spans="1:4" x14ac:dyDescent="0.25">
      <c r="A7" s="10" t="s">
        <v>119</v>
      </c>
      <c r="B7" s="10" t="s">
        <v>190</v>
      </c>
      <c r="C7" s="10" t="s">
        <v>191</v>
      </c>
      <c r="D7" s="10" t="s">
        <v>186</v>
      </c>
    </row>
    <row r="8" spans="1:4" x14ac:dyDescent="0.25">
      <c r="A8" s="10" t="s">
        <v>88</v>
      </c>
      <c r="B8" s="10" t="s">
        <v>89</v>
      </c>
      <c r="C8" s="10" t="s">
        <v>192</v>
      </c>
      <c r="D8" s="10" t="s">
        <v>186</v>
      </c>
    </row>
    <row r="9" spans="1:4" x14ac:dyDescent="0.25">
      <c r="A9" s="10" t="s">
        <v>42</v>
      </c>
      <c r="B9" s="10" t="s">
        <v>90</v>
      </c>
      <c r="C9" s="10" t="s">
        <v>193</v>
      </c>
      <c r="D9" s="10" t="s">
        <v>186</v>
      </c>
    </row>
    <row r="10" spans="1:4" x14ac:dyDescent="0.25">
      <c r="A10" s="10" t="s">
        <v>91</v>
      </c>
      <c r="B10" s="10" t="s">
        <v>92</v>
      </c>
      <c r="C10" s="10" t="s">
        <v>194</v>
      </c>
      <c r="D10" s="10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Leeme</vt:lpstr>
      <vt:lpstr>Datos</vt:lpstr>
      <vt:lpstr>Conteo</vt:lpstr>
      <vt:lpstr>Listas</vt:lpstr>
      <vt:lpstr>Diccionario</vt:lpstr>
      <vt:lpstr>Cafeterias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Manuela Vergara Gomez</cp:lastModifiedBy>
  <cp:revision>0</cp:revision>
  <dcterms:created xsi:type="dcterms:W3CDTF">2026-10-27T01:55:00Z</dcterms:created>
  <dcterms:modified xsi:type="dcterms:W3CDTF">2026-10-27T02:38:32Z</dcterms:modified>
  <dc:language>en-US</dc:language>
</cp:coreProperties>
</file>